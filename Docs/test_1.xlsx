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xr:revisionPtr revIDLastSave="0" documentId="8_{A048A7A3-A877-EE4D-8C1F-247E731FFC26}" xr6:coauthVersionLast="47" xr6:coauthVersionMax="47" xr10:uidLastSave="{00000000-0000-0000-0000-000000000000}"/>
  <bookViews>
    <workbookView xWindow="0" yWindow="0" windowWidth="28800" windowHeight="12180" tabRatio="751" xr2:uid="{00000000-000D-0000-FFFF-FFFF00000000}"/>
  </bookViews>
  <sheets>
    <sheet name="Master" sheetId="12" r:id="rId1"/>
    <sheet name="Mileage" sheetId="11" r:id="rId2"/>
    <sheet name="Comments" sheetId="26" r:id="rId3"/>
  </sheets>
  <definedNames>
    <definedName name="_xlnm._FilterDatabase" localSheetId="0" hidden="1">Master!$E$2:$I$10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6" l="1"/>
  <c r="A29" i="26"/>
  <c r="K27" i="26"/>
  <c r="A27" i="26"/>
  <c r="K18" i="26"/>
  <c r="A18" i="26"/>
  <c r="K16" i="26"/>
  <c r="A16" i="26"/>
  <c r="K7" i="26"/>
  <c r="A7" i="26"/>
  <c r="K5" i="26"/>
  <c r="A5" i="26"/>
  <c r="O1" i="26"/>
  <c r="T35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Q33" i="11"/>
  <c r="O33" i="11"/>
  <c r="I33" i="11"/>
  <c r="G33" i="11"/>
  <c r="E33" i="11"/>
  <c r="Q32" i="11"/>
  <c r="O32" i="11"/>
  <c r="M32" i="11"/>
  <c r="K32" i="11"/>
  <c r="C32" i="11"/>
  <c r="Q30" i="11"/>
  <c r="O30" i="11"/>
  <c r="M30" i="11"/>
  <c r="K30" i="11"/>
  <c r="I30" i="11"/>
  <c r="G30" i="11"/>
  <c r="E30" i="11"/>
  <c r="Q29" i="11"/>
  <c r="O29" i="11"/>
  <c r="C29" i="11"/>
  <c r="Q27" i="11"/>
  <c r="O27" i="11"/>
  <c r="M27" i="11"/>
  <c r="K27" i="11"/>
  <c r="I27" i="11"/>
  <c r="G27" i="11"/>
  <c r="E27" i="11"/>
  <c r="C27" i="11"/>
  <c r="Q26" i="11"/>
  <c r="O26" i="11"/>
  <c r="M26" i="11"/>
  <c r="K26" i="11"/>
  <c r="I26" i="11"/>
  <c r="G26" i="11"/>
  <c r="E26" i="11"/>
  <c r="C26" i="11"/>
  <c r="Q25" i="11"/>
  <c r="O25" i="11"/>
  <c r="M25" i="11"/>
  <c r="K25" i="11"/>
  <c r="I25" i="11"/>
  <c r="G25" i="11"/>
  <c r="E25" i="11"/>
  <c r="C25" i="11"/>
  <c r="Q24" i="11"/>
  <c r="O24" i="11"/>
  <c r="M24" i="11"/>
  <c r="K24" i="11"/>
  <c r="I24" i="11"/>
  <c r="G24" i="11"/>
  <c r="E24" i="11"/>
  <c r="C24" i="11"/>
  <c r="Q23" i="11"/>
  <c r="O23" i="11"/>
  <c r="M23" i="11"/>
  <c r="K23" i="11"/>
  <c r="I23" i="11"/>
  <c r="G23" i="11"/>
  <c r="E23" i="11"/>
  <c r="C23" i="11"/>
  <c r="Q22" i="11"/>
  <c r="O22" i="11"/>
  <c r="M22" i="11"/>
  <c r="K22" i="11"/>
  <c r="I22" i="11"/>
  <c r="G22" i="11"/>
  <c r="E22" i="11"/>
  <c r="C22" i="11"/>
  <c r="Q21" i="11"/>
  <c r="O21" i="11"/>
  <c r="M21" i="11"/>
  <c r="K21" i="11"/>
  <c r="I21" i="11"/>
  <c r="G21" i="11"/>
  <c r="E21" i="11"/>
  <c r="C21" i="11"/>
  <c r="Q20" i="11"/>
  <c r="O20" i="11"/>
  <c r="M20" i="11"/>
  <c r="K20" i="11"/>
  <c r="I20" i="11"/>
  <c r="G20" i="11"/>
  <c r="E20" i="11"/>
  <c r="C20" i="11"/>
  <c r="Q19" i="11"/>
  <c r="O19" i="11"/>
  <c r="M19" i="11"/>
  <c r="K19" i="11"/>
  <c r="I19" i="11"/>
  <c r="G19" i="11"/>
  <c r="E19" i="11"/>
  <c r="C19" i="11"/>
  <c r="Q18" i="11"/>
  <c r="O18" i="11"/>
  <c r="M18" i="11"/>
  <c r="K18" i="11"/>
  <c r="I18" i="11"/>
  <c r="G18" i="11"/>
  <c r="E18" i="11"/>
  <c r="C18" i="11"/>
  <c r="Q17" i="11"/>
  <c r="O17" i="11"/>
  <c r="M17" i="11"/>
  <c r="K17" i="11"/>
  <c r="I17" i="11"/>
  <c r="G17" i="11"/>
  <c r="E17" i="11"/>
  <c r="C17" i="11"/>
  <c r="Q16" i="11"/>
  <c r="O16" i="11"/>
  <c r="M16" i="11"/>
  <c r="K16" i="11"/>
  <c r="I16" i="11"/>
  <c r="G16" i="11"/>
  <c r="E16" i="11"/>
  <c r="C16" i="11"/>
  <c r="Q15" i="11"/>
  <c r="O15" i="11"/>
  <c r="M15" i="11"/>
  <c r="K15" i="11"/>
  <c r="I15" i="11"/>
  <c r="G15" i="11"/>
  <c r="E15" i="11"/>
  <c r="C15" i="11"/>
  <c r="Q14" i="11"/>
  <c r="O14" i="11"/>
  <c r="M14" i="11"/>
  <c r="K14" i="11"/>
  <c r="I14" i="11"/>
  <c r="G14" i="11"/>
  <c r="E14" i="11"/>
  <c r="C14" i="11"/>
  <c r="Q13" i="11"/>
  <c r="O13" i="11"/>
  <c r="M13" i="11"/>
  <c r="K13" i="11"/>
  <c r="I13" i="11"/>
  <c r="G13" i="11"/>
  <c r="E13" i="11"/>
  <c r="C13" i="11"/>
  <c r="Q12" i="11"/>
  <c r="O12" i="11"/>
  <c r="M12" i="11"/>
  <c r="K12" i="11"/>
  <c r="I12" i="11"/>
  <c r="G12" i="11"/>
  <c r="E12" i="11"/>
  <c r="C12" i="11"/>
  <c r="Q11" i="11"/>
  <c r="O11" i="11"/>
  <c r="M11" i="11"/>
  <c r="K11" i="11"/>
  <c r="I11" i="11"/>
  <c r="G11" i="11"/>
  <c r="E11" i="11"/>
  <c r="C11" i="11"/>
  <c r="Q10" i="11"/>
  <c r="O10" i="11"/>
  <c r="M10" i="11"/>
  <c r="K10" i="11"/>
  <c r="I10" i="11"/>
  <c r="G10" i="11"/>
  <c r="E10" i="11"/>
  <c r="C10" i="11"/>
  <c r="Q9" i="11"/>
  <c r="O9" i="11"/>
  <c r="M9" i="11"/>
  <c r="K9" i="11"/>
  <c r="I9" i="11"/>
  <c r="G9" i="11"/>
  <c r="E9" i="11"/>
  <c r="C9" i="11"/>
  <c r="Q8" i="11"/>
  <c r="O8" i="11"/>
  <c r="M8" i="11"/>
  <c r="K8" i="11"/>
  <c r="I8" i="11"/>
  <c r="G8" i="11"/>
  <c r="E8" i="11"/>
  <c r="C8" i="11"/>
  <c r="M7" i="11"/>
  <c r="K7" i="11"/>
  <c r="I7" i="11"/>
  <c r="G7" i="11"/>
  <c r="E7" i="11"/>
  <c r="C7" i="11"/>
  <c r="R5" i="11"/>
  <c r="O5" i="11"/>
  <c r="L5" i="11"/>
  <c r="I5" i="11"/>
  <c r="G5" i="11"/>
  <c r="D5" i="11"/>
  <c r="B5" i="11"/>
  <c r="P1" i="11"/>
  <c r="H18" i="12"/>
  <c r="E18" i="12" a="1"/>
  <c r="E18" i="12"/>
  <c r="H17" i="12"/>
  <c r="E17" i="12" a="1"/>
  <c r="E17" i="12"/>
  <c r="H16" i="12"/>
  <c r="E16" i="12" a="1"/>
  <c r="E16" i="12"/>
  <c r="H15" i="12"/>
  <c r="E15" i="12" a="1"/>
  <c r="E15" i="12"/>
  <c r="H14" i="12"/>
  <c r="E14" i="12" a="1"/>
  <c r="E14" i="12"/>
  <c r="H13" i="12"/>
  <c r="E13" i="12" a="1"/>
  <c r="E1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<sst xmlns="http://schemas.openxmlformats.org/spreadsheetml/2006/main" count="70" uniqueCount="65">
  <si>
    <t>Car Number</t>
  </si>
  <si>
    <t>Workbook Closed?</t>
  </si>
  <si>
    <t>Driver</t>
  </si>
  <si>
    <t>H. JON</t>
  </si>
  <si>
    <t>NO</t>
  </si>
  <si>
    <t>Circuit</t>
  </si>
  <si>
    <t>TAI</t>
  </si>
  <si>
    <t>Event</t>
  </si>
  <si>
    <t>PCCA RD 5</t>
  </si>
  <si>
    <t>Lifing Updated?</t>
  </si>
  <si>
    <t>Mechanic</t>
  </si>
  <si>
    <t>M. WAL</t>
  </si>
  <si>
    <t>YES</t>
  </si>
  <si>
    <t>Engineer</t>
  </si>
  <si>
    <t>D. SWEN</t>
  </si>
  <si>
    <t>Chassis</t>
  </si>
  <si>
    <t>Closed By:</t>
  </si>
  <si>
    <t>Colour Code</t>
  </si>
  <si>
    <t>-</t>
  </si>
  <si>
    <t>Schedule</t>
  </si>
  <si>
    <t>Date</t>
  </si>
  <si>
    <t>Day</t>
  </si>
  <si>
    <t>Time Start</t>
  </si>
  <si>
    <t>Time End</t>
  </si>
  <si>
    <t>Duration</t>
  </si>
  <si>
    <t>Scheduled Laps</t>
  </si>
  <si>
    <t>Session 1</t>
  </si>
  <si>
    <t>Practice 1</t>
  </si>
  <si>
    <t>Session 2</t>
  </si>
  <si>
    <t>Practice 2</t>
  </si>
  <si>
    <t>Session 3</t>
  </si>
  <si>
    <t>Qualifying</t>
  </si>
  <si>
    <t>Session 4</t>
  </si>
  <si>
    <t>Race 1</t>
  </si>
  <si>
    <t>Session 5</t>
  </si>
  <si>
    <t>Race 2</t>
  </si>
  <si>
    <t>Session 6</t>
  </si>
  <si>
    <t>Race 3</t>
  </si>
  <si>
    <t>Trackbook Version</t>
  </si>
  <si>
    <t>Template Creation</t>
  </si>
  <si>
    <t>fh</t>
  </si>
  <si>
    <t>Car and Tyre Mileage</t>
  </si>
  <si>
    <t>Car</t>
  </si>
  <si>
    <t>Year</t>
  </si>
  <si>
    <t>Track</t>
  </si>
  <si>
    <t>Lap Dist</t>
  </si>
  <si>
    <t>km</t>
  </si>
  <si>
    <t>SLICK TYRES</t>
  </si>
  <si>
    <t>Start Mileage</t>
  </si>
  <si>
    <t>Event Milage</t>
  </si>
  <si>
    <t>End Mileage</t>
  </si>
  <si>
    <t>Notes</t>
  </si>
  <si>
    <t>ROTORS</t>
  </si>
  <si>
    <t>12.24.7</t>
  </si>
  <si>
    <t>1.25.4</t>
  </si>
  <si>
    <t>PADS</t>
  </si>
  <si>
    <t>1.25.10</t>
  </si>
  <si>
    <t>1.25.7</t>
  </si>
  <si>
    <t>Car Mileage</t>
  </si>
  <si>
    <t>Update Lifing</t>
  </si>
  <si>
    <t>Fuel Used</t>
  </si>
  <si>
    <t>Ave Calc:</t>
  </si>
  <si>
    <t>kg/lap</t>
  </si>
  <si>
    <t>fad</t>
  </si>
  <si>
    <t>Session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</si>
</sst>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charset val="134"/>
      <scheme val="minor"/>
    </font>
    <font>
      <sz val="20"/>
      <color theme="1"/>
      <name val="Arial"/>
      <charset val="134"/>
      <scheme val="minor"/>
    </font>
    <font>
      <b/>
      <sz val="18"/>
      <color theme="1"/>
      <name val="Arial"/>
      <charset val="134"/>
      <scheme val="minor"/>
    </font>
    <font>
      <sz val="36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i/>
      <sz val="11"/>
      <color theme="0"/>
      <name val="Arial"/>
      <charset val="134"/>
      <scheme val="minor"/>
    </font>
    <font>
      <b/>
      <sz val="11"/>
      <color theme="0"/>
      <name val="Arial"/>
      <charset val="134"/>
      <scheme val="minor"/>
    </font>
    <font>
      <sz val="11"/>
      <color theme="0"/>
      <name val="Arial"/>
      <charset val="134"/>
      <scheme val="minor"/>
    </font>
    <font>
      <sz val="11"/>
      <name val="Arial"/>
      <charset val="134"/>
      <scheme val="minor"/>
    </font>
    <font>
      <i/>
      <sz val="9"/>
      <color theme="1"/>
      <name val="Arial"/>
      <charset val="134"/>
      <scheme val="minor"/>
    </font>
    <font>
      <i/>
      <sz val="11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i/>
      <sz val="8"/>
      <color theme="1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vertical="center"/>
    </xf>
    <xf numFmtId="0" fontId="0" fillId="0" borderId="5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2" fontId="0" fillId="0" borderId="50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8" fontId="0" fillId="0" borderId="25" xfId="0" applyNumberFormat="1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  <xf numFmtId="18" fontId="0" fillId="0" borderId="41" xfId="0" applyNumberFormat="1" applyBorder="1" applyAlignment="1">
      <alignment horizontal="center" vertical="center"/>
    </xf>
    <xf numFmtId="20" fontId="0" fillId="0" borderId="41" xfId="0" applyNumberForma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0" fontId="4" fillId="0" borderId="6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" fontId="5" fillId="6" borderId="39" xfId="0" applyNumberFormat="1" applyFont="1" applyFill="1" applyBorder="1" applyAlignment="1">
      <alignment horizontal="center" vertical="center"/>
    </xf>
    <xf numFmtId="2" fontId="5" fillId="6" borderId="50" xfId="0" applyNumberFormat="1" applyFont="1" applyFill="1" applyBorder="1" applyAlignment="1">
      <alignment horizontal="center" vertical="center"/>
    </xf>
    <xf numFmtId="2" fontId="5" fillId="6" borderId="58" xfId="0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4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5" fillId="6" borderId="38" xfId="0" applyNumberFormat="1" applyFont="1" applyFill="1" applyBorder="1" applyAlignment="1">
      <alignment horizontal="center" vertical="center"/>
    </xf>
    <xf numFmtId="2" fontId="5" fillId="6" borderId="45" xfId="0" applyNumberFormat="1" applyFont="1" applyFill="1" applyBorder="1" applyAlignment="1">
      <alignment horizontal="center" vertical="center"/>
    </xf>
    <xf numFmtId="2" fontId="5" fillId="6" borderId="4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left" vertical="center"/>
    </xf>
    <xf numFmtId="0" fontId="8" fillId="2" borderId="49" xfId="0" applyFont="1" applyFill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5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Bình thường" xfId="0" builtinId="0"/>
  </cellStyles>
  <dxfs count="8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11" Type="http://schemas.openxmlformats.org/officeDocument/2006/relationships/customXml" Target="../customXml/item3.xml" /><Relationship Id="rId5" Type="http://schemas.openxmlformats.org/officeDocument/2006/relationships/styles" Target="styles.xml" /><Relationship Id="rId10" Type="http://schemas.openxmlformats.org/officeDocument/2006/relationships/customXml" Target="../customXml/item2.xml" /><Relationship Id="rId4" Type="http://schemas.openxmlformats.org/officeDocument/2006/relationships/theme" Target="theme/theme1.xml" /><Relationship Id="rId9" Type="http://schemas.openxmlformats.org/officeDocument/2006/relationships/customXml" Target="../customXml/item1.xml" /></Relationships>
</file>

<file path=xl/ctrlProps/ctrlProp1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114300</xdr:colOff>
          <xdr:row>0</xdr:row>
          <xdr:rowOff>0</xdr:rowOff>
        </xdr:from>
        <xdr:to>
          <xdr:col>21</xdr:col>
          <xdr:colOff>601980</xdr:colOff>
          <xdr:row>5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AU" sz="1100" b="1" i="1" u="none" strike="noStrike" baseline="0">
                  <a:solidFill>
                    <a:srgbClr val="000000"/>
                  </a:solidFill>
                  <a:latin typeface="Calibri" panose="020F0502020204030204"/>
                  <a:ea typeface="Calibri" panose="020F0502020204030204"/>
                  <a:cs typeface="Calibri" panose="020F0502020204030204"/>
                </a:rPr>
                <a:t>REFRESH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B2:Q25"/>
  <sheetViews>
    <sheetView showGridLines="0" tabSelected="1" topLeftCell="I5" zoomScale="110" zoomScaleNormal="110" workbookViewId="0">
      <selection activeCell="E22" sqref="E22"/>
    </sheetView>
  </sheetViews>
  <sheetFormatPr defaultColWidth="8.82421875" defaultRowHeight="20.100000000000001" customHeight="1" x14ac:dyDescent="0.15"/>
  <cols>
    <col min="1" max="1" width="8.82421875" style="1"/>
    <col min="2" max="2" width="11.64453125" style="1" customWidth="1"/>
    <col min="3" max="3" width="17.52734375" style="1" customWidth="1"/>
    <col min="4" max="9" width="20.47265625" style="1" customWidth="1"/>
    <col min="10" max="16384" width="8.82421875" style="1"/>
  </cols>
  <sheetData>
    <row r="2" spans="2:17" ht="20.100000000000001" customHeight="1" x14ac:dyDescent="0.15">
      <c r="B2" s="29" t="s">
        <v>0</v>
      </c>
      <c r="C2" s="30">
        <v>1</v>
      </c>
      <c r="E2" s="60" t="e">
        <v>#VALUE!</v>
      </c>
      <c r="F2" s="61"/>
      <c r="G2" s="61"/>
      <c r="H2" s="62"/>
      <c r="I2" s="51" t="s">
        <v>1</v>
      </c>
    </row>
    <row r="3" spans="2:17" ht="20.100000000000001" customHeight="1" x14ac:dyDescent="0.15">
      <c r="B3" s="31" t="s">
        <v>2</v>
      </c>
      <c r="C3" s="22" t="s">
        <v>3</v>
      </c>
      <c r="E3" s="63"/>
      <c r="F3" s="64"/>
      <c r="G3" s="64"/>
      <c r="H3" s="65"/>
      <c r="I3" s="57" t="s">
        <v>4</v>
      </c>
    </row>
    <row r="4" spans="2:17" ht="20.100000000000001" customHeight="1" x14ac:dyDescent="0.15">
      <c r="B4" s="31" t="s">
        <v>5</v>
      </c>
      <c r="C4" s="22" t="s">
        <v>6</v>
      </c>
      <c r="E4" s="63"/>
      <c r="F4" s="64"/>
      <c r="G4" s="64"/>
      <c r="H4" s="65"/>
      <c r="I4" s="57"/>
    </row>
    <row r="5" spans="2:17" ht="20.100000000000001" customHeight="1" x14ac:dyDescent="0.15">
      <c r="B5" s="31" t="s">
        <v>7</v>
      </c>
      <c r="C5" s="22" t="s">
        <v>8</v>
      </c>
      <c r="E5" s="63"/>
      <c r="F5" s="64"/>
      <c r="G5" s="64"/>
      <c r="H5" s="65"/>
      <c r="I5" s="51" t="s">
        <v>9</v>
      </c>
    </row>
    <row r="6" spans="2:17" ht="20.100000000000001" customHeight="1" x14ac:dyDescent="0.15">
      <c r="B6" s="31" t="s">
        <v>10</v>
      </c>
      <c r="C6" s="22" t="s">
        <v>11</v>
      </c>
      <c r="E6" s="63"/>
      <c r="F6" s="64"/>
      <c r="G6" s="64"/>
      <c r="H6" s="65"/>
      <c r="I6" s="57" t="s">
        <v>12</v>
      </c>
    </row>
    <row r="7" spans="2:17" ht="20.100000000000001" customHeight="1" x14ac:dyDescent="0.15">
      <c r="B7" s="31" t="s">
        <v>13</v>
      </c>
      <c r="C7" s="22" t="s">
        <v>14</v>
      </c>
      <c r="E7" s="63"/>
      <c r="F7" s="64"/>
      <c r="G7" s="64"/>
      <c r="H7" s="65"/>
      <c r="I7" s="57"/>
    </row>
    <row r="8" spans="2:17" ht="20.100000000000001" customHeight="1" x14ac:dyDescent="0.15">
      <c r="B8" s="31" t="s">
        <v>15</v>
      </c>
      <c r="C8" s="22">
        <v>298112</v>
      </c>
      <c r="D8"/>
      <c r="E8" s="63"/>
      <c r="F8" s="64"/>
      <c r="G8" s="64"/>
      <c r="H8" s="65"/>
      <c r="I8" s="51" t="s">
        <v>16</v>
      </c>
    </row>
    <row r="9" spans="2:17" ht="20.100000000000001" customHeight="1" x14ac:dyDescent="0.15">
      <c r="B9" s="32" t="s">
        <v>17</v>
      </c>
      <c r="C9" s="33">
        <v>1</v>
      </c>
      <c r="E9" s="63"/>
      <c r="F9" s="64"/>
      <c r="G9" s="64"/>
      <c r="H9" s="65"/>
      <c r="I9" s="58" t="s">
        <v>18</v>
      </c>
    </row>
    <row r="10" spans="2:17" ht="20.100000000000001" customHeight="1" x14ac:dyDescent="0.15">
      <c r="B10" s="4"/>
      <c r="E10" s="66"/>
      <c r="F10" s="67"/>
      <c r="G10" s="67"/>
      <c r="H10" s="68"/>
      <c r="I10" s="59"/>
    </row>
    <row r="12" spans="2:17" ht="20.100000000000001" customHeight="1" x14ac:dyDescent="0.15">
      <c r="B12" s="55" t="s">
        <v>19</v>
      </c>
      <c r="C12" s="56"/>
      <c r="D12" s="34" t="s">
        <v>20</v>
      </c>
      <c r="E12" s="34" t="s">
        <v>21</v>
      </c>
      <c r="F12" s="34" t="s">
        <v>22</v>
      </c>
      <c r="G12" s="34" t="s">
        <v>23</v>
      </c>
      <c r="H12" s="34" t="s">
        <v>24</v>
      </c>
      <c r="I12" s="52" t="s">
        <v>25</v>
      </c>
    </row>
    <row r="13" spans="2:17" ht="20.100000000000001" customHeight="1" x14ac:dyDescent="0.15">
      <c r="B13" s="35" t="s">
        <v>26</v>
      </c>
      <c r="C13" s="36" t="s">
        <v>27</v>
      </c>
      <c r="D13" s="37">
        <v>45912</v>
      </c>
      <c r="E13" s="38" t="e" cm="1">
        <f t="array" ref="E13">INDEX(#REF!,WEEKDAY(D13),2)</f>
        <v>#REF!</v>
      </c>
      <c r="F13" s="39">
        <v>0.4375</v>
      </c>
      <c r="G13" s="39">
        <v>0.45486111111111099</v>
      </c>
      <c r="H13" s="40">
        <f>G13-F13</f>
        <v>1.7361111111111101E-2</v>
      </c>
      <c r="I13" s="22"/>
      <c r="M13" s="53"/>
      <c r="N13" s="53"/>
      <c r="O13" s="53"/>
      <c r="P13" s="53"/>
      <c r="Q13" s="53"/>
    </row>
    <row r="14" spans="2:17" ht="20.100000000000001" customHeight="1" x14ac:dyDescent="0.15">
      <c r="B14" s="35" t="s">
        <v>28</v>
      </c>
      <c r="C14" s="36" t="s">
        <v>29</v>
      </c>
      <c r="D14" s="37">
        <v>45912</v>
      </c>
      <c r="E14" s="38" t="e" cm="1">
        <f t="array" ref="E14">INDEX(#REF!,WEEKDAY(D14),2)</f>
        <v>#REF!</v>
      </c>
      <c r="F14" s="39">
        <v>0.63541666666666696</v>
      </c>
      <c r="G14" s="39">
        <v>0.65277777777777801</v>
      </c>
      <c r="H14" s="40">
        <f>G14-F14</f>
        <v>1.7361111111111199E-2</v>
      </c>
      <c r="I14" s="22"/>
      <c r="M14" s="53"/>
      <c r="N14" s="53"/>
      <c r="O14" s="53"/>
      <c r="P14" s="53"/>
      <c r="Q14" s="53"/>
    </row>
    <row r="15" spans="2:17" ht="20.100000000000001" customHeight="1" x14ac:dyDescent="0.15">
      <c r="B15" s="35" t="s">
        <v>30</v>
      </c>
      <c r="C15" s="36" t="s">
        <v>31</v>
      </c>
      <c r="D15" s="37">
        <v>45913</v>
      </c>
      <c r="E15" s="38" t="e" cm="1">
        <f t="array" ref="E15">INDEX(#REF!,WEEKDAY(D15),2)</f>
        <v>#REF!</v>
      </c>
      <c r="F15" s="39">
        <v>0.44791666666666702</v>
      </c>
      <c r="G15" s="39">
        <v>0.46180555555555602</v>
      </c>
      <c r="H15" s="40">
        <f t="shared" ref="H15:H18" si="0">G15-F15</f>
        <v>1.38888888888889E-2</v>
      </c>
      <c r="I15" s="22"/>
      <c r="M15" s="53"/>
      <c r="N15" s="53"/>
      <c r="O15" s="53"/>
      <c r="P15" s="53"/>
      <c r="Q15" s="53"/>
    </row>
    <row r="16" spans="2:17" ht="20.100000000000001" customHeight="1" x14ac:dyDescent="0.15">
      <c r="B16" s="35" t="s">
        <v>32</v>
      </c>
      <c r="C16" s="36" t="s">
        <v>33</v>
      </c>
      <c r="D16" s="37">
        <v>45913</v>
      </c>
      <c r="E16" s="38" t="e" cm="1">
        <f t="array" ref="E16">INDEX(#REF!,WEEKDAY(D16),2)</f>
        <v>#REF!</v>
      </c>
      <c r="F16" s="39">
        <v>0.65277777777777801</v>
      </c>
      <c r="G16" s="39">
        <v>0.67013888888888895</v>
      </c>
      <c r="H16" s="40">
        <f t="shared" si="0"/>
        <v>1.7361111111111001E-2</v>
      </c>
      <c r="I16" s="22"/>
      <c r="M16" s="53"/>
      <c r="N16" s="53"/>
      <c r="O16" s="53"/>
      <c r="P16" s="53"/>
      <c r="Q16" s="53"/>
    </row>
    <row r="17" spans="2:17" ht="20.100000000000001" customHeight="1" x14ac:dyDescent="0.15">
      <c r="B17" s="35" t="s">
        <v>34</v>
      </c>
      <c r="C17" s="36" t="s">
        <v>35</v>
      </c>
      <c r="D17" s="37">
        <v>45914</v>
      </c>
      <c r="E17" s="38" t="e" cm="1">
        <f t="array" ref="E17">INDEX(#REF!,WEEKDAY(D17),2)</f>
        <v>#REF!</v>
      </c>
      <c r="F17" s="39">
        <v>0.35763888888888901</v>
      </c>
      <c r="G17" s="39">
        <v>0.38888888888888901</v>
      </c>
      <c r="H17" s="40">
        <f t="shared" si="0"/>
        <v>3.125E-2</v>
      </c>
      <c r="I17" s="22"/>
      <c r="M17" s="53"/>
      <c r="N17" s="53"/>
      <c r="O17" s="53"/>
      <c r="P17" s="53"/>
      <c r="Q17" s="53"/>
    </row>
    <row r="18" spans="2:17" ht="20.100000000000001" customHeight="1" x14ac:dyDescent="0.15">
      <c r="B18" s="41" t="s">
        <v>36</v>
      </c>
      <c r="C18" s="42" t="s">
        <v>37</v>
      </c>
      <c r="D18" s="43">
        <v>45914</v>
      </c>
      <c r="E18" s="19" t="e" cm="1">
        <f t="array" ref="E18">INDEX(#REF!,WEEKDAY(D18),2)</f>
        <v>#REF!</v>
      </c>
      <c r="F18" s="44">
        <v>0.52430555555555602</v>
      </c>
      <c r="G18" s="44">
        <v>0.54166666666666696</v>
      </c>
      <c r="H18" s="45">
        <f t="shared" si="0"/>
        <v>1.7361111111111001E-2</v>
      </c>
      <c r="I18" s="54"/>
      <c r="M18" s="53"/>
      <c r="N18" s="53"/>
      <c r="O18" s="53"/>
      <c r="P18" s="53"/>
      <c r="Q18" s="53"/>
    </row>
    <row r="19" spans="2:17" ht="20.100000000000001" customHeight="1" x14ac:dyDescent="0.15">
      <c r="M19" s="53"/>
      <c r="N19" s="53"/>
      <c r="O19" s="53"/>
      <c r="P19" s="53"/>
      <c r="Q19" s="53"/>
    </row>
    <row r="20" spans="2:17" ht="20.100000000000001" customHeight="1" x14ac:dyDescent="0.15">
      <c r="B20" s="46" t="s">
        <v>38</v>
      </c>
      <c r="C20" s="47">
        <v>15</v>
      </c>
      <c r="D20" s="48"/>
      <c r="E20" s="49"/>
      <c r="F20" s="28"/>
      <c r="G20" s="28"/>
      <c r="H20" s="28"/>
      <c r="I20" s="28"/>
      <c r="M20" s="53"/>
      <c r="N20" s="53"/>
      <c r="O20" s="53"/>
      <c r="P20" s="53"/>
      <c r="Q20" s="53"/>
    </row>
    <row r="21" spans="2:17" ht="20.100000000000001" customHeight="1" x14ac:dyDescent="0.15">
      <c r="B21" s="46" t="s">
        <v>39</v>
      </c>
      <c r="C21" s="50">
        <v>45853</v>
      </c>
      <c r="M21" s="53"/>
      <c r="N21" s="53"/>
      <c r="O21" s="53"/>
      <c r="P21" s="53"/>
      <c r="Q21" s="53"/>
    </row>
    <row r="22" spans="2:17" ht="20.100000000000001" customHeight="1" x14ac:dyDescent="0.15">
      <c r="M22" s="53"/>
      <c r="N22" s="53"/>
      <c r="O22" s="53"/>
      <c r="P22" s="53"/>
      <c r="Q22" s="53"/>
    </row>
    <row r="23" spans="2:17" ht="20.100000000000001" customHeight="1" x14ac:dyDescent="0.15">
      <c r="M23" s="53"/>
      <c r="N23" s="53"/>
      <c r="O23" s="53"/>
      <c r="P23" s="53"/>
      <c r="Q23" s="53"/>
    </row>
    <row r="24" spans="2:17" s="28" customFormat="1" ht="12.95" customHeight="1" x14ac:dyDescent="0.15">
      <c r="B24" s="1"/>
      <c r="C24" s="1"/>
      <c r="D24" s="1"/>
      <c r="E24" s="1"/>
      <c r="F24" s="1"/>
      <c r="G24" s="1"/>
      <c r="H24" s="1"/>
      <c r="I24" s="1"/>
    </row>
    <row r="25" spans="2:17" ht="10.9" customHeight="1" x14ac:dyDescent="0.15"/>
  </sheetData>
  <mergeCells count="5">
    <mergeCell ref="B12:C12"/>
    <mergeCell ref="I3:I4"/>
    <mergeCell ref="I6:I7"/>
    <mergeCell ref="I9:I10"/>
    <mergeCell ref="E2:H10"/>
  </mergeCells>
  <conditionalFormatting sqref="I3:I4">
    <cfRule type="cellIs" dxfId="7" priority="2" operator="equal">
      <formula>"YES"</formula>
    </cfRule>
  </conditionalFormatting>
  <conditionalFormatting sqref="I6:I7">
    <cfRule type="cellIs" dxfId="6" priority="1" operator="equal">
      <formula>"YES"</formula>
    </cfRule>
  </conditionalFormatting>
  <dataValidations count="1">
    <dataValidation type="list" allowBlank="1" showInputMessage="1" showErrorMessage="1" sqref="I3:I4 I6:I7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V37"/>
  <sheetViews>
    <sheetView showGridLines="0" workbookViewId="0">
      <selection activeCell="X11" sqref="X11"/>
    </sheetView>
  </sheetViews>
  <sheetFormatPr defaultColWidth="8.94921875" defaultRowHeight="13.5" x14ac:dyDescent="0.15"/>
  <cols>
    <col min="1" max="1" width="23.046875" customWidth="1"/>
    <col min="2" max="2" width="13.359375" customWidth="1"/>
    <col min="8" max="8" width="11.3984375" customWidth="1"/>
  </cols>
  <sheetData>
    <row r="1" spans="1:22" ht="14.1" customHeight="1" x14ac:dyDescent="0.15">
      <c r="A1" s="69" t="s">
        <v>40</v>
      </c>
      <c r="B1" s="70"/>
      <c r="C1" s="70"/>
      <c r="D1" s="71"/>
      <c r="E1" s="78" t="s">
        <v>41</v>
      </c>
      <c r="F1" s="70"/>
      <c r="G1" s="70"/>
      <c r="H1" s="70"/>
      <c r="I1" s="70"/>
      <c r="J1" s="70"/>
      <c r="K1" s="70"/>
      <c r="L1" s="70"/>
      <c r="M1" s="71"/>
      <c r="N1" s="78" t="s">
        <v>42</v>
      </c>
      <c r="O1" s="71"/>
      <c r="P1" s="81">
        <f>Master!C2</f>
        <v>1</v>
      </c>
      <c r="Q1" s="82"/>
      <c r="R1" s="82"/>
      <c r="S1" s="82"/>
      <c r="T1" s="83"/>
    </row>
    <row r="2" spans="1:22" ht="14.1" customHeight="1" x14ac:dyDescent="0.15">
      <c r="A2" s="72"/>
      <c r="B2" s="73"/>
      <c r="C2" s="73"/>
      <c r="D2" s="74"/>
      <c r="E2" s="79"/>
      <c r="F2" s="73"/>
      <c r="G2" s="73"/>
      <c r="H2" s="73"/>
      <c r="I2" s="73"/>
      <c r="J2" s="73"/>
      <c r="K2" s="73"/>
      <c r="L2" s="73"/>
      <c r="M2" s="74"/>
      <c r="N2" s="79"/>
      <c r="O2" s="74"/>
      <c r="P2" s="84"/>
      <c r="Q2" s="85"/>
      <c r="R2" s="85"/>
      <c r="S2" s="85"/>
      <c r="T2" s="86"/>
    </row>
    <row r="3" spans="1:22" ht="14.1" customHeight="1" x14ac:dyDescent="0.15">
      <c r="A3" s="75"/>
      <c r="B3" s="76"/>
      <c r="C3" s="76"/>
      <c r="D3" s="77"/>
      <c r="E3" s="80"/>
      <c r="F3" s="76"/>
      <c r="G3" s="76"/>
      <c r="H3" s="76"/>
      <c r="I3" s="76"/>
      <c r="J3" s="76"/>
      <c r="K3" s="76"/>
      <c r="L3" s="76"/>
      <c r="M3" s="77"/>
      <c r="N3" s="80"/>
      <c r="O3" s="77"/>
      <c r="P3" s="87"/>
      <c r="Q3" s="88"/>
      <c r="R3" s="88"/>
      <c r="S3" s="88"/>
      <c r="T3" s="89"/>
    </row>
    <row r="4" spans="1:22" ht="14.1" customHeight="1" x14ac:dyDescent="0.15">
      <c r="A4" s="3"/>
      <c r="B4" s="4"/>
      <c r="Q4" s="20"/>
      <c r="R4" s="20"/>
      <c r="S4" s="21"/>
    </row>
    <row r="5" spans="1:22" s="1" customFormat="1" ht="21" customHeight="1" x14ac:dyDescent="0.15">
      <c r="A5" s="5" t="s">
        <v>43</v>
      </c>
      <c r="B5" s="6">
        <f>YEAR(Master!D13)</f>
        <v>2025</v>
      </c>
      <c r="C5" s="7" t="s">
        <v>7</v>
      </c>
      <c r="D5" s="147" t="str">
        <f>Master!C5</f>
        <v>PCCA RD 5</v>
      </c>
      <c r="E5" s="147"/>
      <c r="F5" s="7" t="s">
        <v>44</v>
      </c>
      <c r="G5" s="6" t="str">
        <f>Master!C4</f>
        <v>TAI</v>
      </c>
      <c r="H5" s="7" t="s">
        <v>2</v>
      </c>
      <c r="I5" s="147" t="str">
        <f>Master!C3</f>
        <v>H. JON</v>
      </c>
      <c r="J5" s="147"/>
      <c r="K5" s="7" t="s">
        <v>15</v>
      </c>
      <c r="L5" s="147">
        <f>Master!C8</f>
        <v>298112</v>
      </c>
      <c r="M5" s="147"/>
      <c r="N5" s="7" t="s">
        <v>13</v>
      </c>
      <c r="O5" s="147" t="str">
        <f>Master!C7</f>
        <v>D. SWEN</v>
      </c>
      <c r="P5" s="147"/>
      <c r="Q5" s="7" t="s">
        <v>45</v>
      </c>
      <c r="R5" s="6" t="e">
        <f>_xlfn.XLOOKUP(G5,#REF!,#REF!)</f>
        <v>#REF!</v>
      </c>
      <c r="S5" s="148" t="s">
        <v>46</v>
      </c>
      <c r="T5" s="149"/>
    </row>
    <row r="7" spans="1:22" ht="19.149999999999999" customHeight="1" x14ac:dyDescent="0.15">
      <c r="A7" s="8" t="s">
        <v>47</v>
      </c>
      <c r="B7" s="9" t="s">
        <v>48</v>
      </c>
      <c r="C7" s="150" t="str">
        <f>Master!C13</f>
        <v>Practice 1</v>
      </c>
      <c r="D7" s="150"/>
      <c r="E7" s="150" t="str">
        <f>Master!C14</f>
        <v>Practice 2</v>
      </c>
      <c r="F7" s="150"/>
      <c r="G7" s="150" t="str">
        <f>Master!C15</f>
        <v>Qualifying</v>
      </c>
      <c r="H7" s="150"/>
      <c r="I7" s="150" t="str">
        <f>Master!C16</f>
        <v>Race 1</v>
      </c>
      <c r="J7" s="150"/>
      <c r="K7" s="150" t="str">
        <f>Master!C17</f>
        <v>Race 2</v>
      </c>
      <c r="L7" s="150"/>
      <c r="M7" s="150" t="str">
        <f>Master!C18</f>
        <v>Race 3</v>
      </c>
      <c r="N7" s="151"/>
      <c r="O7" s="152" t="s">
        <v>49</v>
      </c>
      <c r="P7" s="153"/>
      <c r="Q7" s="152" t="s">
        <v>50</v>
      </c>
      <c r="R7" s="153"/>
      <c r="S7" s="154" t="s">
        <v>51</v>
      </c>
      <c r="T7" s="155"/>
      <c r="U7" s="155"/>
      <c r="V7" s="156"/>
    </row>
    <row r="8" spans="1:22" x14ac:dyDescent="0.15">
      <c r="A8" s="10">
        <v>1.5321</v>
      </c>
      <c r="B8" s="11">
        <v>54.22</v>
      </c>
      <c r="C8" s="142" t="e">
        <f>GetTyreMileage($A8,C$7)</f>
        <v>#NAME?</v>
      </c>
      <c r="D8" s="143"/>
      <c r="E8" s="143" t="e">
        <f>GetTyreMileage($A8,E$7)</f>
        <v>#NAME?</v>
      </c>
      <c r="F8" s="143"/>
      <c r="G8" s="143" t="e">
        <f>GetTyreMileage($A8,G$7)</f>
        <v>#NAME?</v>
      </c>
      <c r="H8" s="143"/>
      <c r="I8" s="143" t="e">
        <f>GetTyreMileage($A8,I$7)</f>
        <v>#NAME?</v>
      </c>
      <c r="J8" s="143"/>
      <c r="K8" s="143" t="e">
        <f>GetTyreMileage($A8,K$7)</f>
        <v>#NAME?</v>
      </c>
      <c r="L8" s="143"/>
      <c r="M8" s="143" t="e">
        <f>GetTyreMileage($A8,M$7)</f>
        <v>#NAME?</v>
      </c>
      <c r="N8" s="143"/>
      <c r="O8" s="111" t="e">
        <f t="shared" ref="O8:O27" si="0">SUM(C8:N8)</f>
        <v>#NAME?</v>
      </c>
      <c r="P8" s="112"/>
      <c r="Q8" s="129" t="e">
        <f t="shared" ref="Q8:Q27" si="1">SUM(B8:N8)</f>
        <v>#NAME?</v>
      </c>
      <c r="R8" s="130"/>
      <c r="S8" s="144"/>
      <c r="T8" s="145"/>
      <c r="U8" s="145"/>
      <c r="V8" s="146"/>
    </row>
    <row r="9" spans="1:22" x14ac:dyDescent="0.15">
      <c r="A9" s="10">
        <v>1.5322</v>
      </c>
      <c r="B9" s="11">
        <v>54.22</v>
      </c>
      <c r="C9" s="142" t="e">
        <f>GetTyreMileage($A9,C$7)</f>
        <v>#NAME?</v>
      </c>
      <c r="D9" s="143"/>
      <c r="E9" s="143" t="e">
        <f>GetTyreMileage($A9,E$7)</f>
        <v>#NAME?</v>
      </c>
      <c r="F9" s="143"/>
      <c r="G9" s="143" t="e">
        <f>GetTyreMileage($A9,G$7)</f>
        <v>#NAME?</v>
      </c>
      <c r="H9" s="143"/>
      <c r="I9" s="143" t="e">
        <f>GetTyreMileage($A9,I$7)</f>
        <v>#NAME?</v>
      </c>
      <c r="J9" s="143"/>
      <c r="K9" s="143" t="e">
        <f>GetTyreMileage($A9,K$7)</f>
        <v>#NAME?</v>
      </c>
      <c r="L9" s="143"/>
      <c r="M9" s="143" t="e">
        <f>GetTyreMileage($A9,M$7)</f>
        <v>#NAME?</v>
      </c>
      <c r="N9" s="143"/>
      <c r="O9" s="111" t="e">
        <f t="shared" si="0"/>
        <v>#NAME?</v>
      </c>
      <c r="P9" s="112"/>
      <c r="Q9" s="118" t="e">
        <f t="shared" si="1"/>
        <v>#NAME?</v>
      </c>
      <c r="R9" s="119"/>
      <c r="S9" s="144"/>
      <c r="T9" s="145"/>
      <c r="U9" s="145"/>
      <c r="V9" s="146"/>
    </row>
    <row r="10" spans="1:22" x14ac:dyDescent="0.15">
      <c r="A10" s="10">
        <v>1.5323</v>
      </c>
      <c r="B10" s="11">
        <v>54.22</v>
      </c>
      <c r="C10" s="142" t="e">
        <f>GetTyreMileage($A10,C$7)</f>
        <v>#NAME?</v>
      </c>
      <c r="D10" s="143"/>
      <c r="E10" s="143" t="e">
        <f>GetTyreMileage($A10,E$7)</f>
        <v>#NAME?</v>
      </c>
      <c r="F10" s="143"/>
      <c r="G10" s="143" t="e">
        <f>GetTyreMileage($A10,G$7)</f>
        <v>#NAME?</v>
      </c>
      <c r="H10" s="143"/>
      <c r="I10" s="143" t="e">
        <f>GetTyreMileage($A10,I$7)</f>
        <v>#NAME?</v>
      </c>
      <c r="J10" s="143"/>
      <c r="K10" s="143" t="e">
        <f>GetTyreMileage($A10,K$7)</f>
        <v>#NAME?</v>
      </c>
      <c r="L10" s="143"/>
      <c r="M10" s="143" t="e">
        <f>GetTyreMileage($A10,M$7)</f>
        <v>#NAME?</v>
      </c>
      <c r="N10" s="143"/>
      <c r="O10" s="111" t="e">
        <f t="shared" si="0"/>
        <v>#NAME?</v>
      </c>
      <c r="P10" s="112"/>
      <c r="Q10" s="118" t="e">
        <f t="shared" si="1"/>
        <v>#NAME?</v>
      </c>
      <c r="R10" s="119"/>
      <c r="S10" s="131"/>
      <c r="T10" s="131"/>
      <c r="U10" s="131"/>
      <c r="V10" s="132"/>
    </row>
    <row r="11" spans="1:22" x14ac:dyDescent="0.15">
      <c r="A11" s="10">
        <v>1.5324</v>
      </c>
      <c r="B11" s="11">
        <v>54.22</v>
      </c>
      <c r="C11" s="142" t="e">
        <f>GetTyreMileage($A11,C$7)</f>
        <v>#NAME?</v>
      </c>
      <c r="D11" s="143"/>
      <c r="E11" s="143" t="e">
        <f>GetTyreMileage($A11,E$7)</f>
        <v>#NAME?</v>
      </c>
      <c r="F11" s="143"/>
      <c r="G11" s="143" t="e">
        <f>GetTyreMileage($A11,G$7)</f>
        <v>#NAME?</v>
      </c>
      <c r="H11" s="143"/>
      <c r="I11" s="143" t="e">
        <f>GetTyreMileage($A11,I$7)</f>
        <v>#NAME?</v>
      </c>
      <c r="J11" s="143"/>
      <c r="K11" s="143" t="e">
        <f>GetTyreMileage($A11,K$7)</f>
        <v>#NAME?</v>
      </c>
      <c r="L11" s="143"/>
      <c r="M11" s="143" t="e">
        <f>GetTyreMileage($A11,M$7)</f>
        <v>#NAME?</v>
      </c>
      <c r="N11" s="143"/>
      <c r="O11" s="111" t="e">
        <f t="shared" si="0"/>
        <v>#NAME?</v>
      </c>
      <c r="P11" s="112"/>
      <c r="Q11" s="118" t="e">
        <f t="shared" si="1"/>
        <v>#NAME?</v>
      </c>
      <c r="R11" s="119"/>
      <c r="S11" s="131"/>
      <c r="T11" s="131"/>
      <c r="U11" s="131"/>
      <c r="V11" s="132"/>
    </row>
    <row r="12" spans="1:22" x14ac:dyDescent="0.15">
      <c r="A12" s="10">
        <v>1.5421</v>
      </c>
      <c r="B12" s="11">
        <v>31.26</v>
      </c>
      <c r="C12" s="142" t="e">
        <f>GetTyreMileage($A12,C$7)</f>
        <v>#NAME?</v>
      </c>
      <c r="D12" s="143"/>
      <c r="E12" s="143" t="e">
        <f>GetTyreMileage($A12,E$7)</f>
        <v>#NAME?</v>
      </c>
      <c r="F12" s="143"/>
      <c r="G12" s="143" t="e">
        <f>GetTyreMileage($A12,G$7)</f>
        <v>#NAME?</v>
      </c>
      <c r="H12" s="143"/>
      <c r="I12" s="143" t="e">
        <f>GetTyreMileage($A12,I$7)</f>
        <v>#NAME?</v>
      </c>
      <c r="J12" s="143"/>
      <c r="K12" s="143" t="e">
        <f>GetTyreMileage($A12,K$7)</f>
        <v>#NAME?</v>
      </c>
      <c r="L12" s="143"/>
      <c r="M12" s="143" t="e">
        <f>GetTyreMileage($A12,M$7)</f>
        <v>#NAME?</v>
      </c>
      <c r="N12" s="143"/>
      <c r="O12" s="111" t="e">
        <f t="shared" si="0"/>
        <v>#NAME?</v>
      </c>
      <c r="P12" s="112"/>
      <c r="Q12" s="118" t="e">
        <f t="shared" si="1"/>
        <v>#NAME?</v>
      </c>
      <c r="R12" s="119"/>
      <c r="S12" s="131"/>
      <c r="T12" s="131"/>
      <c r="U12" s="131"/>
      <c r="V12" s="132"/>
    </row>
    <row r="13" spans="1:22" x14ac:dyDescent="0.15">
      <c r="A13" s="10">
        <v>1.5422</v>
      </c>
      <c r="B13" s="11">
        <v>31.26</v>
      </c>
      <c r="C13" s="142" t="e">
        <f>GetTyreMileage($A13,C$7)</f>
        <v>#NAME?</v>
      </c>
      <c r="D13" s="143"/>
      <c r="E13" s="143" t="e">
        <f>GetTyreMileage($A13,E$7)</f>
        <v>#NAME?</v>
      </c>
      <c r="F13" s="143"/>
      <c r="G13" s="143" t="e">
        <f>GetTyreMileage($A13,G$7)</f>
        <v>#NAME?</v>
      </c>
      <c r="H13" s="143"/>
      <c r="I13" s="143" t="e">
        <f>GetTyreMileage($A13,I$7)</f>
        <v>#NAME?</v>
      </c>
      <c r="J13" s="143"/>
      <c r="K13" s="143" t="e">
        <f>GetTyreMileage($A13,K$7)</f>
        <v>#NAME?</v>
      </c>
      <c r="L13" s="143"/>
      <c r="M13" s="143" t="e">
        <f>GetTyreMileage($A13,M$7)</f>
        <v>#NAME?</v>
      </c>
      <c r="N13" s="143"/>
      <c r="O13" s="111" t="e">
        <f t="shared" si="0"/>
        <v>#NAME?</v>
      </c>
      <c r="P13" s="112"/>
      <c r="Q13" s="118" t="e">
        <f t="shared" si="1"/>
        <v>#NAME?</v>
      </c>
      <c r="R13" s="119"/>
      <c r="S13" s="131"/>
      <c r="T13" s="131"/>
      <c r="U13" s="131"/>
      <c r="V13" s="132"/>
    </row>
    <row r="14" spans="1:22" x14ac:dyDescent="0.15">
      <c r="A14" s="10">
        <v>1.5423</v>
      </c>
      <c r="B14" s="11">
        <v>31.26</v>
      </c>
      <c r="C14" s="142" t="e">
        <f>GetTyreMileage($A14,C$7)</f>
        <v>#NAME?</v>
      </c>
      <c r="D14" s="143"/>
      <c r="E14" s="143" t="e">
        <f>GetTyreMileage($A14,E$7)</f>
        <v>#NAME?</v>
      </c>
      <c r="F14" s="143"/>
      <c r="G14" s="143" t="e">
        <f>GetTyreMileage($A14,G$7)</f>
        <v>#NAME?</v>
      </c>
      <c r="H14" s="143"/>
      <c r="I14" s="143" t="e">
        <f>GetTyreMileage($A14,I$7)</f>
        <v>#NAME?</v>
      </c>
      <c r="J14" s="143"/>
      <c r="K14" s="143" t="e">
        <f>GetTyreMileage($A14,K$7)</f>
        <v>#NAME?</v>
      </c>
      <c r="L14" s="143"/>
      <c r="M14" s="143" t="e">
        <f>GetTyreMileage($A14,M$7)</f>
        <v>#NAME?</v>
      </c>
      <c r="N14" s="143"/>
      <c r="O14" s="111" t="e">
        <f t="shared" si="0"/>
        <v>#NAME?</v>
      </c>
      <c r="P14" s="112"/>
      <c r="Q14" s="118" t="e">
        <f t="shared" si="1"/>
        <v>#NAME?</v>
      </c>
      <c r="R14" s="119"/>
      <c r="S14" s="131"/>
      <c r="T14" s="131"/>
      <c r="U14" s="131"/>
      <c r="V14" s="132"/>
    </row>
    <row r="15" spans="1:22" x14ac:dyDescent="0.15">
      <c r="A15" s="10">
        <v>1.5424</v>
      </c>
      <c r="B15" s="11">
        <v>31.26</v>
      </c>
      <c r="C15" s="142" t="e">
        <f>GetTyreMileage($A15,C$7)</f>
        <v>#NAME?</v>
      </c>
      <c r="D15" s="143"/>
      <c r="E15" s="143" t="e">
        <f>GetTyreMileage($A15,E$7)</f>
        <v>#NAME?</v>
      </c>
      <c r="F15" s="143"/>
      <c r="G15" s="143" t="e">
        <f>GetTyreMileage($A15,G$7)</f>
        <v>#NAME?</v>
      </c>
      <c r="H15" s="143"/>
      <c r="I15" s="143" t="e">
        <f>GetTyreMileage($A15,I$7)</f>
        <v>#NAME?</v>
      </c>
      <c r="J15" s="143"/>
      <c r="K15" s="143" t="e">
        <f>GetTyreMileage($A15,K$7)</f>
        <v>#NAME?</v>
      </c>
      <c r="L15" s="143"/>
      <c r="M15" s="143" t="e">
        <f>GetTyreMileage($A15,M$7)</f>
        <v>#NAME?</v>
      </c>
      <c r="N15" s="143"/>
      <c r="O15" s="111" t="e">
        <f t="shared" si="0"/>
        <v>#NAME?</v>
      </c>
      <c r="P15" s="112"/>
      <c r="Q15" s="118" t="e">
        <f t="shared" si="1"/>
        <v>#NAME?</v>
      </c>
      <c r="R15" s="119"/>
      <c r="S15" s="131"/>
      <c r="T15" s="131"/>
      <c r="U15" s="131"/>
      <c r="V15" s="132"/>
    </row>
    <row r="16" spans="1:22" x14ac:dyDescent="0.15">
      <c r="A16" s="10">
        <v>1.5521</v>
      </c>
      <c r="B16" s="11">
        <v>0</v>
      </c>
      <c r="C16" s="142" t="e">
        <f>GetTyreMileage($A16,C$7)</f>
        <v>#NAME?</v>
      </c>
      <c r="D16" s="143"/>
      <c r="E16" s="143" t="e">
        <f>GetTyreMileage($A16,E$7)</f>
        <v>#NAME?</v>
      </c>
      <c r="F16" s="143"/>
      <c r="G16" s="143" t="e">
        <f>GetTyreMileage($A16,G$7)</f>
        <v>#NAME?</v>
      </c>
      <c r="H16" s="143"/>
      <c r="I16" s="143" t="e">
        <f>GetTyreMileage($A16,I$7)</f>
        <v>#NAME?</v>
      </c>
      <c r="J16" s="143"/>
      <c r="K16" s="143" t="e">
        <f>GetTyreMileage($A16,K$7)</f>
        <v>#NAME?</v>
      </c>
      <c r="L16" s="143"/>
      <c r="M16" s="143" t="e">
        <f>GetTyreMileage($A16,M$7)</f>
        <v>#NAME?</v>
      </c>
      <c r="N16" s="143"/>
      <c r="O16" s="111" t="e">
        <f t="shared" ref="O16:O19" si="2">SUM(C16:N16)</f>
        <v>#NAME?</v>
      </c>
      <c r="P16" s="112"/>
      <c r="Q16" s="118" t="e">
        <f t="shared" ref="Q16:Q19" si="3">SUM(B16:N16)</f>
        <v>#NAME?</v>
      </c>
      <c r="R16" s="119"/>
      <c r="S16" s="131"/>
      <c r="T16" s="131"/>
      <c r="U16" s="131"/>
      <c r="V16" s="132"/>
    </row>
    <row r="17" spans="1:22" x14ac:dyDescent="0.15">
      <c r="A17" s="10">
        <v>1.5522</v>
      </c>
      <c r="B17" s="11">
        <v>0</v>
      </c>
      <c r="C17" s="142" t="e">
        <f>GetTyreMileage($A17,C$7)</f>
        <v>#NAME?</v>
      </c>
      <c r="D17" s="143"/>
      <c r="E17" s="143" t="e">
        <f>GetTyreMileage($A17,E$7)</f>
        <v>#NAME?</v>
      </c>
      <c r="F17" s="143"/>
      <c r="G17" s="143" t="e">
        <f>GetTyreMileage($A17,G$7)</f>
        <v>#NAME?</v>
      </c>
      <c r="H17" s="143"/>
      <c r="I17" s="143" t="e">
        <f>GetTyreMileage($A17,I$7)</f>
        <v>#NAME?</v>
      </c>
      <c r="J17" s="143"/>
      <c r="K17" s="143" t="e">
        <f>GetTyreMileage($A17,K$7)</f>
        <v>#NAME?</v>
      </c>
      <c r="L17" s="143"/>
      <c r="M17" s="143" t="e">
        <f>GetTyreMileage($A17,M$7)</f>
        <v>#NAME?</v>
      </c>
      <c r="N17" s="143"/>
      <c r="O17" s="111" t="e">
        <f t="shared" si="2"/>
        <v>#NAME?</v>
      </c>
      <c r="P17" s="112"/>
      <c r="Q17" s="118" t="e">
        <f t="shared" si="3"/>
        <v>#NAME?</v>
      </c>
      <c r="R17" s="119"/>
      <c r="S17" s="131"/>
      <c r="T17" s="131"/>
      <c r="U17" s="131"/>
      <c r="V17" s="132"/>
    </row>
    <row r="18" spans="1:22" x14ac:dyDescent="0.15">
      <c r="A18" s="10">
        <v>1.5523</v>
      </c>
      <c r="B18" s="11">
        <v>0</v>
      </c>
      <c r="C18" s="142" t="e">
        <f>GetTyreMileage($A18,C$7)</f>
        <v>#NAME?</v>
      </c>
      <c r="D18" s="143"/>
      <c r="E18" s="143" t="e">
        <f>GetTyreMileage($A18,E$7)</f>
        <v>#NAME?</v>
      </c>
      <c r="F18" s="143"/>
      <c r="G18" s="143" t="e">
        <f>GetTyreMileage($A18,G$7)</f>
        <v>#NAME?</v>
      </c>
      <c r="H18" s="143"/>
      <c r="I18" s="143" t="e">
        <f>GetTyreMileage($A18,I$7)</f>
        <v>#NAME?</v>
      </c>
      <c r="J18" s="143"/>
      <c r="K18" s="143" t="e">
        <f>GetTyreMileage($A18,K$7)</f>
        <v>#NAME?</v>
      </c>
      <c r="L18" s="143"/>
      <c r="M18" s="143" t="e">
        <f>GetTyreMileage($A18,M$7)</f>
        <v>#NAME?</v>
      </c>
      <c r="N18" s="143"/>
      <c r="O18" s="111" t="e">
        <f t="shared" si="2"/>
        <v>#NAME?</v>
      </c>
      <c r="P18" s="112"/>
      <c r="Q18" s="118" t="e">
        <f t="shared" si="3"/>
        <v>#NAME?</v>
      </c>
      <c r="R18" s="119"/>
      <c r="S18" s="131"/>
      <c r="T18" s="131"/>
      <c r="U18" s="131"/>
      <c r="V18" s="132"/>
    </row>
    <row r="19" spans="1:22" x14ac:dyDescent="0.15">
      <c r="A19" s="10">
        <v>1.5524</v>
      </c>
      <c r="B19" s="11">
        <v>0</v>
      </c>
      <c r="C19" s="142" t="e">
        <f>GetTyreMileage($A19,C$7)</f>
        <v>#NAME?</v>
      </c>
      <c r="D19" s="143"/>
      <c r="E19" s="143" t="e">
        <f>GetTyreMileage($A19,E$7)</f>
        <v>#NAME?</v>
      </c>
      <c r="F19" s="143"/>
      <c r="G19" s="143" t="e">
        <f>GetTyreMileage($A19,G$7)</f>
        <v>#NAME?</v>
      </c>
      <c r="H19" s="143"/>
      <c r="I19" s="143" t="e">
        <f>GetTyreMileage($A19,I$7)</f>
        <v>#NAME?</v>
      </c>
      <c r="J19" s="143"/>
      <c r="K19" s="143" t="e">
        <f>GetTyreMileage($A19,K$7)</f>
        <v>#NAME?</v>
      </c>
      <c r="L19" s="143"/>
      <c r="M19" s="143" t="e">
        <f>GetTyreMileage($A19,M$7)</f>
        <v>#NAME?</v>
      </c>
      <c r="N19" s="143"/>
      <c r="O19" s="111" t="e">
        <f t="shared" si="2"/>
        <v>#NAME?</v>
      </c>
      <c r="P19" s="112"/>
      <c r="Q19" s="118" t="e">
        <f t="shared" si="3"/>
        <v>#NAME?</v>
      </c>
      <c r="R19" s="119"/>
      <c r="S19" s="131"/>
      <c r="T19" s="131"/>
      <c r="U19" s="131"/>
      <c r="V19" s="132"/>
    </row>
    <row r="20" spans="1:22" x14ac:dyDescent="0.15">
      <c r="A20" s="10">
        <v>1.5501</v>
      </c>
      <c r="B20" s="11">
        <v>0</v>
      </c>
      <c r="C20" s="142" t="e">
        <f>GetTyreMileage($A20,C$7)</f>
        <v>#NAME?</v>
      </c>
      <c r="D20" s="143"/>
      <c r="E20" s="143" t="e">
        <f>GetTyreMileage($A20,E$7)</f>
        <v>#NAME?</v>
      </c>
      <c r="F20" s="143"/>
      <c r="G20" s="143" t="e">
        <f>GetTyreMileage($A20,G$7)</f>
        <v>#NAME?</v>
      </c>
      <c r="H20" s="143"/>
      <c r="I20" s="143" t="e">
        <f>GetTyreMileage($A20,I$7)</f>
        <v>#NAME?</v>
      </c>
      <c r="J20" s="143"/>
      <c r="K20" s="143" t="e">
        <f>GetTyreMileage($A20,K$7)</f>
        <v>#NAME?</v>
      </c>
      <c r="L20" s="143"/>
      <c r="M20" s="143" t="e">
        <f>GetTyreMileage($A20,M$7)</f>
        <v>#NAME?</v>
      </c>
      <c r="N20" s="143"/>
      <c r="O20" s="111" t="e">
        <f t="shared" si="0"/>
        <v>#NAME?</v>
      </c>
      <c r="P20" s="112"/>
      <c r="Q20" s="118" t="e">
        <f t="shared" si="1"/>
        <v>#NAME?</v>
      </c>
      <c r="R20" s="119"/>
      <c r="S20" s="131"/>
      <c r="T20" s="131"/>
      <c r="U20" s="131"/>
      <c r="V20" s="132"/>
    </row>
    <row r="21" spans="1:22" x14ac:dyDescent="0.15">
      <c r="A21" s="10">
        <v>1.5502</v>
      </c>
      <c r="B21" s="11">
        <v>0</v>
      </c>
      <c r="C21" s="142" t="e">
        <f>GetTyreMileage($A21,C$7)</f>
        <v>#NAME?</v>
      </c>
      <c r="D21" s="143"/>
      <c r="E21" s="143" t="e">
        <f>GetTyreMileage($A21,E$7)</f>
        <v>#NAME?</v>
      </c>
      <c r="F21" s="143"/>
      <c r="G21" s="143" t="e">
        <f>GetTyreMileage($A21,G$7)</f>
        <v>#NAME?</v>
      </c>
      <c r="H21" s="143"/>
      <c r="I21" s="143" t="e">
        <f>GetTyreMileage($A21,I$7)</f>
        <v>#NAME?</v>
      </c>
      <c r="J21" s="143"/>
      <c r="K21" s="143" t="e">
        <f>GetTyreMileage($A21,K$7)</f>
        <v>#NAME?</v>
      </c>
      <c r="L21" s="143"/>
      <c r="M21" s="143" t="e">
        <f>GetTyreMileage($A21,M$7)</f>
        <v>#NAME?</v>
      </c>
      <c r="N21" s="143"/>
      <c r="O21" s="111" t="e">
        <f t="shared" si="0"/>
        <v>#NAME?</v>
      </c>
      <c r="P21" s="112"/>
      <c r="Q21" s="118" t="e">
        <f t="shared" si="1"/>
        <v>#NAME?</v>
      </c>
      <c r="R21" s="119"/>
      <c r="S21" s="131"/>
      <c r="T21" s="131"/>
      <c r="U21" s="131"/>
      <c r="V21" s="132"/>
    </row>
    <row r="22" spans="1:22" x14ac:dyDescent="0.15">
      <c r="A22" s="10">
        <v>1.5503</v>
      </c>
      <c r="B22" s="11">
        <v>0</v>
      </c>
      <c r="C22" s="142" t="e">
        <f>GetTyreMileage($A22,C$7)</f>
        <v>#NAME?</v>
      </c>
      <c r="D22" s="143"/>
      <c r="E22" s="143" t="e">
        <f>GetTyreMileage($A22,E$7)</f>
        <v>#NAME?</v>
      </c>
      <c r="F22" s="143"/>
      <c r="G22" s="143" t="e">
        <f>GetTyreMileage($A22,G$7)</f>
        <v>#NAME?</v>
      </c>
      <c r="H22" s="143"/>
      <c r="I22" s="143" t="e">
        <f>GetTyreMileage($A22,I$7)</f>
        <v>#NAME?</v>
      </c>
      <c r="J22" s="143"/>
      <c r="K22" s="143" t="e">
        <f>GetTyreMileage($A22,K$7)</f>
        <v>#NAME?</v>
      </c>
      <c r="L22" s="143"/>
      <c r="M22" s="143" t="e">
        <f>GetTyreMileage($A22,M$7)</f>
        <v>#NAME?</v>
      </c>
      <c r="N22" s="143"/>
      <c r="O22" s="111" t="e">
        <f t="shared" si="0"/>
        <v>#NAME?</v>
      </c>
      <c r="P22" s="112"/>
      <c r="Q22" s="118" t="e">
        <f t="shared" si="1"/>
        <v>#NAME?</v>
      </c>
      <c r="R22" s="119"/>
      <c r="S22" s="131"/>
      <c r="T22" s="131"/>
      <c r="U22" s="131"/>
      <c r="V22" s="132"/>
    </row>
    <row r="23" spans="1:22" x14ac:dyDescent="0.15">
      <c r="A23" s="10">
        <v>1.5504</v>
      </c>
      <c r="B23" s="11">
        <v>0</v>
      </c>
      <c r="C23" s="142" t="e">
        <f>GetTyreMileage($A23,C$7)</f>
        <v>#NAME?</v>
      </c>
      <c r="D23" s="143"/>
      <c r="E23" s="143" t="e">
        <f>GetTyreMileage($A23,E$7)</f>
        <v>#NAME?</v>
      </c>
      <c r="F23" s="143"/>
      <c r="G23" s="143" t="e">
        <f>GetTyreMileage($A23,G$7)</f>
        <v>#NAME?</v>
      </c>
      <c r="H23" s="143"/>
      <c r="I23" s="143" t="e">
        <f>GetTyreMileage($A23,I$7)</f>
        <v>#NAME?</v>
      </c>
      <c r="J23" s="143"/>
      <c r="K23" s="143" t="e">
        <f>GetTyreMileage($A23,K$7)</f>
        <v>#NAME?</v>
      </c>
      <c r="L23" s="143"/>
      <c r="M23" s="143" t="e">
        <f>GetTyreMileage($A23,M$7)</f>
        <v>#NAME?</v>
      </c>
      <c r="N23" s="143"/>
      <c r="O23" s="111" t="e">
        <f t="shared" si="0"/>
        <v>#NAME?</v>
      </c>
      <c r="P23" s="112"/>
      <c r="Q23" s="118" t="e">
        <f t="shared" si="1"/>
        <v>#NAME?</v>
      </c>
      <c r="R23" s="119"/>
      <c r="S23" s="131"/>
      <c r="T23" s="131"/>
      <c r="U23" s="131"/>
      <c r="V23" s="132"/>
    </row>
    <row r="24" spans="1:22" x14ac:dyDescent="0.15">
      <c r="A24" s="10">
        <v>1.5505</v>
      </c>
      <c r="B24" s="11">
        <v>0</v>
      </c>
      <c r="C24" s="142" t="e">
        <f>GetTyreMileage($A24,C$7)</f>
        <v>#NAME?</v>
      </c>
      <c r="D24" s="143"/>
      <c r="E24" s="143" t="e">
        <f>GetTyreMileage($A24,E$7)</f>
        <v>#NAME?</v>
      </c>
      <c r="F24" s="143"/>
      <c r="G24" s="143" t="e">
        <f>GetTyreMileage($A24,G$7)</f>
        <v>#NAME?</v>
      </c>
      <c r="H24" s="143"/>
      <c r="I24" s="143" t="e">
        <f>GetTyreMileage($A24,I$7)</f>
        <v>#NAME?</v>
      </c>
      <c r="J24" s="143"/>
      <c r="K24" s="143" t="e">
        <f>GetTyreMileage($A24,K$7)</f>
        <v>#NAME?</v>
      </c>
      <c r="L24" s="143"/>
      <c r="M24" s="143" t="e">
        <f>GetTyreMileage($A24,M$7)</f>
        <v>#NAME?</v>
      </c>
      <c r="N24" s="143"/>
      <c r="O24" s="111" t="e">
        <f t="shared" si="0"/>
        <v>#NAME?</v>
      </c>
      <c r="P24" s="112"/>
      <c r="Q24" s="118" t="e">
        <f t="shared" si="1"/>
        <v>#NAME?</v>
      </c>
      <c r="R24" s="119"/>
      <c r="S24" s="131"/>
      <c r="T24" s="131"/>
      <c r="U24" s="131"/>
      <c r="V24" s="132"/>
    </row>
    <row r="25" spans="1:22" x14ac:dyDescent="0.15">
      <c r="A25" s="10">
        <v>1.5506</v>
      </c>
      <c r="B25" s="11">
        <v>0</v>
      </c>
      <c r="C25" s="142" t="e">
        <f>GetTyreMileage($A25,C$7)</f>
        <v>#NAME?</v>
      </c>
      <c r="D25" s="143"/>
      <c r="E25" s="143" t="e">
        <f>GetTyreMileage($A25,E$7)</f>
        <v>#NAME?</v>
      </c>
      <c r="F25" s="143"/>
      <c r="G25" s="143" t="e">
        <f>GetTyreMileage($A25,G$7)</f>
        <v>#NAME?</v>
      </c>
      <c r="H25" s="143"/>
      <c r="I25" s="143" t="e">
        <f>GetTyreMileage($A25,I$7)</f>
        <v>#NAME?</v>
      </c>
      <c r="J25" s="143"/>
      <c r="K25" s="143" t="e">
        <f>GetTyreMileage($A25,K$7)</f>
        <v>#NAME?</v>
      </c>
      <c r="L25" s="143"/>
      <c r="M25" s="143" t="e">
        <f>GetTyreMileage($A25,M$7)</f>
        <v>#NAME?</v>
      </c>
      <c r="N25" s="143"/>
      <c r="O25" s="111" t="e">
        <f t="shared" si="0"/>
        <v>#NAME?</v>
      </c>
      <c r="P25" s="112"/>
      <c r="Q25" s="118" t="e">
        <f t="shared" si="1"/>
        <v>#NAME?</v>
      </c>
      <c r="R25" s="119"/>
      <c r="S25" s="131"/>
      <c r="T25" s="131"/>
      <c r="U25" s="131"/>
      <c r="V25" s="132"/>
    </row>
    <row r="26" spans="1:22" x14ac:dyDescent="0.15">
      <c r="A26" s="10">
        <v>1.5507</v>
      </c>
      <c r="B26" s="11">
        <v>0</v>
      </c>
      <c r="C26" s="142" t="e">
        <f>GetTyreMileage($A26,C$7)</f>
        <v>#NAME?</v>
      </c>
      <c r="D26" s="143"/>
      <c r="E26" s="143" t="e">
        <f>GetTyreMileage($A26,E$7)</f>
        <v>#NAME?</v>
      </c>
      <c r="F26" s="143"/>
      <c r="G26" s="143" t="e">
        <f>GetTyreMileage($A26,G$7)</f>
        <v>#NAME?</v>
      </c>
      <c r="H26" s="143"/>
      <c r="I26" s="143" t="e">
        <f>GetTyreMileage($A26,I$7)</f>
        <v>#NAME?</v>
      </c>
      <c r="J26" s="143"/>
      <c r="K26" s="143" t="e">
        <f>GetTyreMileage($A26,K$7)</f>
        <v>#NAME?</v>
      </c>
      <c r="L26" s="143"/>
      <c r="M26" s="143" t="e">
        <f>GetTyreMileage($A26,M$7)</f>
        <v>#NAME?</v>
      </c>
      <c r="N26" s="143"/>
      <c r="O26" s="111" t="e">
        <f t="shared" si="0"/>
        <v>#NAME?</v>
      </c>
      <c r="P26" s="112"/>
      <c r="Q26" s="118" t="e">
        <f t="shared" si="1"/>
        <v>#NAME?</v>
      </c>
      <c r="R26" s="119"/>
      <c r="S26" s="131"/>
      <c r="T26" s="131"/>
      <c r="U26" s="131"/>
      <c r="V26" s="132"/>
    </row>
    <row r="27" spans="1:22" x14ac:dyDescent="0.15">
      <c r="A27" s="10">
        <v>1.5508</v>
      </c>
      <c r="B27" s="11">
        <v>0</v>
      </c>
      <c r="C27" s="142" t="e">
        <f>GetTyreMileage($A27,C$7)</f>
        <v>#NAME?</v>
      </c>
      <c r="D27" s="143"/>
      <c r="E27" s="143" t="e">
        <f>GetTyreMileage($A27,E$7)</f>
        <v>#NAME?</v>
      </c>
      <c r="F27" s="143"/>
      <c r="G27" s="143" t="e">
        <f>GetTyreMileage($A27,G$7)</f>
        <v>#NAME?</v>
      </c>
      <c r="H27" s="143"/>
      <c r="I27" s="143" t="e">
        <f>GetTyreMileage($A27,I$7)</f>
        <v>#NAME?</v>
      </c>
      <c r="J27" s="143"/>
      <c r="K27" s="143" t="e">
        <f>GetTyreMileage($A27,K$7)</f>
        <v>#NAME?</v>
      </c>
      <c r="L27" s="143"/>
      <c r="M27" s="143" t="e">
        <f>GetTyreMileage($A27,M$7)</f>
        <v>#NAME?</v>
      </c>
      <c r="N27" s="143"/>
      <c r="O27" s="111" t="e">
        <f t="shared" si="0"/>
        <v>#NAME?</v>
      </c>
      <c r="P27" s="112"/>
      <c r="Q27" s="118" t="e">
        <f t="shared" si="1"/>
        <v>#NAME?</v>
      </c>
      <c r="R27" s="119"/>
      <c r="S27" s="131"/>
      <c r="T27" s="131"/>
      <c r="U27" s="131"/>
      <c r="V27" s="132"/>
    </row>
    <row r="28" spans="1:22" x14ac:dyDescent="0.15">
      <c r="A28" s="8" t="s">
        <v>52</v>
      </c>
      <c r="B28" s="12"/>
      <c r="C28" s="133"/>
      <c r="D28" s="134"/>
      <c r="E28" s="133"/>
      <c r="F28" s="134"/>
      <c r="G28" s="133"/>
      <c r="H28" s="134"/>
      <c r="I28" s="133"/>
      <c r="J28" s="134"/>
      <c r="K28" s="133"/>
      <c r="L28" s="134"/>
      <c r="M28" s="133"/>
      <c r="N28" s="135"/>
      <c r="O28" s="136"/>
      <c r="P28" s="137"/>
      <c r="Q28" s="138"/>
      <c r="R28" s="139"/>
      <c r="S28" s="140"/>
      <c r="T28" s="140"/>
      <c r="U28" s="140"/>
      <c r="V28" s="141"/>
    </row>
    <row r="29" spans="1:22" x14ac:dyDescent="0.15">
      <c r="A29" s="10" t="s">
        <v>53</v>
      </c>
      <c r="B29" s="11">
        <v>25</v>
      </c>
      <c r="C29" s="115" t="e">
        <f>C34</f>
        <v>#REF!</v>
      </c>
      <c r="D29" s="116"/>
      <c r="E29" s="115"/>
      <c r="F29" s="116"/>
      <c r="G29" s="115"/>
      <c r="H29" s="116"/>
      <c r="I29" s="115"/>
      <c r="J29" s="116"/>
      <c r="K29" s="115"/>
      <c r="L29" s="116"/>
      <c r="M29" s="115"/>
      <c r="N29" s="117"/>
      <c r="O29" s="111" t="e">
        <f>SUM(C29:N29)</f>
        <v>#REF!</v>
      </c>
      <c r="P29" s="112"/>
      <c r="Q29" s="129" t="e">
        <f>SUM(B29:N29)</f>
        <v>#REF!</v>
      </c>
      <c r="R29" s="130"/>
      <c r="S29" s="131"/>
      <c r="T29" s="131"/>
      <c r="U29" s="131"/>
      <c r="V29" s="132"/>
    </row>
    <row r="30" spans="1:22" x14ac:dyDescent="0.15">
      <c r="A30" s="10" t="s">
        <v>54</v>
      </c>
      <c r="B30" s="11">
        <v>34</v>
      </c>
      <c r="C30" s="115"/>
      <c r="D30" s="116"/>
      <c r="E30" s="115" t="e">
        <f>E34</f>
        <v>#REF!</v>
      </c>
      <c r="F30" s="116"/>
      <c r="G30" s="115" t="e">
        <f>G34</f>
        <v>#REF!</v>
      </c>
      <c r="H30" s="116"/>
      <c r="I30" s="115" t="e">
        <f>I34</f>
        <v>#REF!</v>
      </c>
      <c r="J30" s="116"/>
      <c r="K30" s="115" t="e">
        <f>K34</f>
        <v>#REF!</v>
      </c>
      <c r="L30" s="116"/>
      <c r="M30" s="115" t="e">
        <f>M34</f>
        <v>#REF!</v>
      </c>
      <c r="N30" s="116"/>
      <c r="O30" s="111" t="e">
        <f>SUM(C30:N30)</f>
        <v>#REF!</v>
      </c>
      <c r="P30" s="112"/>
      <c r="Q30" s="129" t="e">
        <f>SUM(B30:N30)</f>
        <v>#REF!</v>
      </c>
      <c r="R30" s="130"/>
      <c r="S30" s="131"/>
      <c r="T30" s="131"/>
      <c r="U30" s="131"/>
      <c r="V30" s="132"/>
    </row>
    <row r="31" spans="1:22" x14ac:dyDescent="0.15">
      <c r="A31" s="13" t="s">
        <v>55</v>
      </c>
      <c r="B31" s="14"/>
      <c r="C31" s="120"/>
      <c r="D31" s="121"/>
      <c r="E31" s="120"/>
      <c r="F31" s="121"/>
      <c r="G31" s="120"/>
      <c r="H31" s="121"/>
      <c r="I31" s="120"/>
      <c r="J31" s="121"/>
      <c r="K31" s="120"/>
      <c r="L31" s="121"/>
      <c r="M31" s="120"/>
      <c r="N31" s="122"/>
      <c r="O31" s="123"/>
      <c r="P31" s="124"/>
      <c r="Q31" s="125"/>
      <c r="R31" s="126"/>
      <c r="S31" s="127"/>
      <c r="T31" s="127"/>
      <c r="U31" s="127"/>
      <c r="V31" s="128"/>
    </row>
    <row r="32" spans="1:22" x14ac:dyDescent="0.15">
      <c r="A32" s="15" t="s">
        <v>56</v>
      </c>
      <c r="B32" s="16">
        <v>25</v>
      </c>
      <c r="C32" s="109" t="e">
        <f>C34</f>
        <v>#REF!</v>
      </c>
      <c r="D32" s="110"/>
      <c r="E32" s="109"/>
      <c r="F32" s="110"/>
      <c r="G32" s="109"/>
      <c r="H32" s="110"/>
      <c r="I32" s="109"/>
      <c r="J32" s="110"/>
      <c r="K32" s="109" t="e">
        <f>K34</f>
        <v>#REF!</v>
      </c>
      <c r="L32" s="110"/>
      <c r="M32" s="109" t="e">
        <f>M34</f>
        <v>#REF!</v>
      </c>
      <c r="N32" s="110"/>
      <c r="O32" s="111" t="e">
        <f t="shared" ref="O32:O33" si="4">SUM(C32:N32)</f>
        <v>#REF!</v>
      </c>
      <c r="P32" s="112"/>
      <c r="Q32" s="113" t="e">
        <f t="shared" ref="Q32:Q33" si="5">SUM(B32:N32)</f>
        <v>#REF!</v>
      </c>
      <c r="R32" s="114"/>
      <c r="S32" s="2"/>
      <c r="T32" s="2"/>
      <c r="U32" s="2"/>
      <c r="V32" s="23"/>
    </row>
    <row r="33" spans="1:22" x14ac:dyDescent="0.15">
      <c r="A33" s="17" t="s">
        <v>57</v>
      </c>
      <c r="B33" s="18">
        <v>34</v>
      </c>
      <c r="C33" s="115"/>
      <c r="D33" s="116"/>
      <c r="E33" s="115" t="e">
        <f>E34</f>
        <v>#REF!</v>
      </c>
      <c r="F33" s="116"/>
      <c r="G33" s="115" t="e">
        <f>G34</f>
        <v>#REF!</v>
      </c>
      <c r="H33" s="116"/>
      <c r="I33" s="115" t="e">
        <f>I34</f>
        <v>#REF!</v>
      </c>
      <c r="J33" s="116"/>
      <c r="K33" s="115"/>
      <c r="L33" s="116"/>
      <c r="M33" s="115"/>
      <c r="N33" s="117"/>
      <c r="O33" s="111" t="e">
        <f t="shared" si="4"/>
        <v>#REF!</v>
      </c>
      <c r="P33" s="112"/>
      <c r="Q33" s="118" t="e">
        <f t="shared" si="5"/>
        <v>#REF!</v>
      </c>
      <c r="R33" s="119"/>
      <c r="S33" s="24"/>
      <c r="T33" s="24"/>
      <c r="U33" s="24"/>
      <c r="V33" s="25"/>
    </row>
    <row r="34" spans="1:22" x14ac:dyDescent="0.15">
      <c r="A34" s="98" t="s">
        <v>58</v>
      </c>
      <c r="B34" s="99"/>
      <c r="C34" s="100" t="e">
        <f>#REF!</f>
        <v>#REF!</v>
      </c>
      <c r="D34" s="100"/>
      <c r="E34" s="101" t="e">
        <f>#REF!</f>
        <v>#REF!</v>
      </c>
      <c r="F34" s="102"/>
      <c r="G34" s="101" t="e">
        <f>#REF!</f>
        <v>#REF!</v>
      </c>
      <c r="H34" s="102"/>
      <c r="I34" s="101" t="e">
        <f>#REF!</f>
        <v>#REF!</v>
      </c>
      <c r="J34" s="102"/>
      <c r="K34" s="101" t="e">
        <f>#REF!</f>
        <v>#REF!</v>
      </c>
      <c r="L34" s="102"/>
      <c r="M34" s="101" t="e">
        <f>#REF!</f>
        <v>#REF!</v>
      </c>
      <c r="N34" s="102"/>
      <c r="O34" s="103" t="e">
        <f>SUM(B34:N34)</f>
        <v>#REF!</v>
      </c>
      <c r="P34" s="104"/>
      <c r="Q34" s="104"/>
      <c r="R34" s="105"/>
      <c r="S34" s="106" t="s">
        <v>59</v>
      </c>
      <c r="T34" s="107"/>
      <c r="U34" s="107"/>
      <c r="V34" s="108"/>
    </row>
    <row r="35" spans="1:22" x14ac:dyDescent="0.15">
      <c r="A35" s="90" t="s">
        <v>60</v>
      </c>
      <c r="B35" s="91"/>
      <c r="C35" s="92" t="e">
        <f>#REF!-#REF!</f>
        <v>#REF!</v>
      </c>
      <c r="D35" s="92"/>
      <c r="E35" s="92" t="e">
        <f>#REF!-#REF!</f>
        <v>#REF!</v>
      </c>
      <c r="F35" s="92"/>
      <c r="G35" s="92" t="e">
        <f>#REF!-#REF!</f>
        <v>#REF!</v>
      </c>
      <c r="H35" s="92"/>
      <c r="I35" s="92" t="e">
        <f>#REF!-#REF!</f>
        <v>#REF!</v>
      </c>
      <c r="J35" s="92"/>
      <c r="K35" s="92" t="e">
        <f>#REF!-#REF!</f>
        <v>#REF!</v>
      </c>
      <c r="L35" s="92"/>
      <c r="M35" s="92" t="e">
        <f>#REF!-#REF!</f>
        <v>#REF!</v>
      </c>
      <c r="N35" s="92"/>
      <c r="O35" s="93" t="e">
        <f>SUM(B35:N35)</f>
        <v>#REF!</v>
      </c>
      <c r="P35" s="94"/>
      <c r="Q35" s="94"/>
      <c r="R35" s="95"/>
      <c r="S35" s="26" t="s">
        <v>61</v>
      </c>
      <c r="T35" s="27" t="e">
        <f>O35/(O34/R5)</f>
        <v>#REF!</v>
      </c>
      <c r="U35" s="96" t="s">
        <v>62</v>
      </c>
      <c r="V35" s="97"/>
    </row>
    <row r="37" spans="1:22" s="2" customFormat="1" ht="16.149999999999999" customHeight="1" x14ac:dyDescent="0.15"/>
  </sheetData>
  <mergeCells count="268">
    <mergeCell ref="D5:E5"/>
    <mergeCell ref="I5:J5"/>
    <mergeCell ref="L5:M5"/>
    <mergeCell ref="O5:P5"/>
    <mergeCell ref="S5:T5"/>
    <mergeCell ref="C7:D7"/>
    <mergeCell ref="E7:F7"/>
    <mergeCell ref="G7:H7"/>
    <mergeCell ref="I7:J7"/>
    <mergeCell ref="K7:L7"/>
    <mergeCell ref="M7:N7"/>
    <mergeCell ref="O7:P7"/>
    <mergeCell ref="Q7:R7"/>
    <mergeCell ref="S7:V7"/>
    <mergeCell ref="C8:D8"/>
    <mergeCell ref="E8:F8"/>
    <mergeCell ref="G8:H8"/>
    <mergeCell ref="I8:J8"/>
    <mergeCell ref="K8:L8"/>
    <mergeCell ref="M8:N8"/>
    <mergeCell ref="O8:P8"/>
    <mergeCell ref="Q8:R8"/>
    <mergeCell ref="S8:V8"/>
    <mergeCell ref="C9:D9"/>
    <mergeCell ref="E9:F9"/>
    <mergeCell ref="G9:H9"/>
    <mergeCell ref="I9:J9"/>
    <mergeCell ref="K9:L9"/>
    <mergeCell ref="M9:N9"/>
    <mergeCell ref="O9:P9"/>
    <mergeCell ref="Q9:R9"/>
    <mergeCell ref="S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V10"/>
    <mergeCell ref="C11:D11"/>
    <mergeCell ref="E11:F11"/>
    <mergeCell ref="G11:H11"/>
    <mergeCell ref="I11:J11"/>
    <mergeCell ref="K11:L11"/>
    <mergeCell ref="M11:N11"/>
    <mergeCell ref="O11:P11"/>
    <mergeCell ref="Q11:R11"/>
    <mergeCell ref="S11:V11"/>
    <mergeCell ref="C12:D12"/>
    <mergeCell ref="E12:F12"/>
    <mergeCell ref="G12:H12"/>
    <mergeCell ref="I12:J12"/>
    <mergeCell ref="K12:L12"/>
    <mergeCell ref="M12:N12"/>
    <mergeCell ref="O12:P12"/>
    <mergeCell ref="Q12:R12"/>
    <mergeCell ref="S12:V12"/>
    <mergeCell ref="C13:D13"/>
    <mergeCell ref="E13:F13"/>
    <mergeCell ref="G13:H13"/>
    <mergeCell ref="I13:J13"/>
    <mergeCell ref="K13:L13"/>
    <mergeCell ref="M13:N13"/>
    <mergeCell ref="O13:P13"/>
    <mergeCell ref="Q13:R13"/>
    <mergeCell ref="S13:V13"/>
    <mergeCell ref="C14:D14"/>
    <mergeCell ref="E14:F14"/>
    <mergeCell ref="G14:H14"/>
    <mergeCell ref="I14:J14"/>
    <mergeCell ref="K14:L14"/>
    <mergeCell ref="M14:N14"/>
    <mergeCell ref="O14:P14"/>
    <mergeCell ref="Q14:R14"/>
    <mergeCell ref="S14:V14"/>
    <mergeCell ref="C15:D15"/>
    <mergeCell ref="E15:F15"/>
    <mergeCell ref="G15:H15"/>
    <mergeCell ref="I15:J15"/>
    <mergeCell ref="K15:L15"/>
    <mergeCell ref="M15:N15"/>
    <mergeCell ref="O15:P15"/>
    <mergeCell ref="Q15:R15"/>
    <mergeCell ref="S15:V15"/>
    <mergeCell ref="C16:D16"/>
    <mergeCell ref="E16:F16"/>
    <mergeCell ref="G16:H16"/>
    <mergeCell ref="I16:J16"/>
    <mergeCell ref="K16:L16"/>
    <mergeCell ref="M16:N16"/>
    <mergeCell ref="O16:P16"/>
    <mergeCell ref="Q16:R16"/>
    <mergeCell ref="S16:V16"/>
    <mergeCell ref="C17:D17"/>
    <mergeCell ref="E17:F17"/>
    <mergeCell ref="G17:H17"/>
    <mergeCell ref="I17:J17"/>
    <mergeCell ref="K17:L17"/>
    <mergeCell ref="M17:N17"/>
    <mergeCell ref="O17:P17"/>
    <mergeCell ref="Q17:R17"/>
    <mergeCell ref="S17:V17"/>
    <mergeCell ref="C18:D18"/>
    <mergeCell ref="E18:F18"/>
    <mergeCell ref="G18:H18"/>
    <mergeCell ref="I18:J18"/>
    <mergeCell ref="K18:L18"/>
    <mergeCell ref="M18:N18"/>
    <mergeCell ref="O18:P18"/>
    <mergeCell ref="Q18:R18"/>
    <mergeCell ref="S18:V18"/>
    <mergeCell ref="C19:D19"/>
    <mergeCell ref="E19:F19"/>
    <mergeCell ref="G19:H19"/>
    <mergeCell ref="I19:J19"/>
    <mergeCell ref="K19:L19"/>
    <mergeCell ref="M19:N19"/>
    <mergeCell ref="O19:P19"/>
    <mergeCell ref="Q19:R19"/>
    <mergeCell ref="S19:V19"/>
    <mergeCell ref="C20:D20"/>
    <mergeCell ref="E20:F20"/>
    <mergeCell ref="G20:H20"/>
    <mergeCell ref="I20:J20"/>
    <mergeCell ref="K20:L20"/>
    <mergeCell ref="M20:N20"/>
    <mergeCell ref="O20:P20"/>
    <mergeCell ref="Q20:R20"/>
    <mergeCell ref="S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V21"/>
    <mergeCell ref="C22:D22"/>
    <mergeCell ref="E22:F22"/>
    <mergeCell ref="G22:H22"/>
    <mergeCell ref="I22:J22"/>
    <mergeCell ref="K22:L22"/>
    <mergeCell ref="M22:N22"/>
    <mergeCell ref="O22:P22"/>
    <mergeCell ref="Q22:R22"/>
    <mergeCell ref="S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V23"/>
    <mergeCell ref="C24:D24"/>
    <mergeCell ref="E24:F24"/>
    <mergeCell ref="G24:H24"/>
    <mergeCell ref="I24:J24"/>
    <mergeCell ref="K24:L24"/>
    <mergeCell ref="M24:N24"/>
    <mergeCell ref="O24:P24"/>
    <mergeCell ref="Q24:R24"/>
    <mergeCell ref="S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V25"/>
    <mergeCell ref="C26:D26"/>
    <mergeCell ref="E26:F26"/>
    <mergeCell ref="G26:H26"/>
    <mergeCell ref="I26:J26"/>
    <mergeCell ref="K26:L26"/>
    <mergeCell ref="M26:N26"/>
    <mergeCell ref="O26:P26"/>
    <mergeCell ref="Q26:R26"/>
    <mergeCell ref="S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V27"/>
    <mergeCell ref="C28:D28"/>
    <mergeCell ref="E28:F28"/>
    <mergeCell ref="G28:H28"/>
    <mergeCell ref="I28:J28"/>
    <mergeCell ref="K28:L28"/>
    <mergeCell ref="M28:N28"/>
    <mergeCell ref="O28:P28"/>
    <mergeCell ref="Q28:R28"/>
    <mergeCell ref="S28:V28"/>
    <mergeCell ref="C29:D29"/>
    <mergeCell ref="E29:F29"/>
    <mergeCell ref="G29:H29"/>
    <mergeCell ref="I29:J29"/>
    <mergeCell ref="K29:L29"/>
    <mergeCell ref="M29:N29"/>
    <mergeCell ref="O29:P29"/>
    <mergeCell ref="Q29:R29"/>
    <mergeCell ref="S29:V29"/>
    <mergeCell ref="S31:V31"/>
    <mergeCell ref="C30:D30"/>
    <mergeCell ref="E30:F30"/>
    <mergeCell ref="G30:H30"/>
    <mergeCell ref="I30:J30"/>
    <mergeCell ref="K30:L30"/>
    <mergeCell ref="M30:N30"/>
    <mergeCell ref="O30:P30"/>
    <mergeCell ref="Q30:R30"/>
    <mergeCell ref="S30:V30"/>
    <mergeCell ref="K33:L33"/>
    <mergeCell ref="M33:N33"/>
    <mergeCell ref="O33:P33"/>
    <mergeCell ref="Q33:R33"/>
    <mergeCell ref="C31:D31"/>
    <mergeCell ref="E31:F31"/>
    <mergeCell ref="G31:H31"/>
    <mergeCell ref="I31:J31"/>
    <mergeCell ref="K31:L31"/>
    <mergeCell ref="M31:N31"/>
    <mergeCell ref="O31:P31"/>
    <mergeCell ref="Q31:R31"/>
    <mergeCell ref="U35:V35"/>
    <mergeCell ref="A34:B34"/>
    <mergeCell ref="C34:D34"/>
    <mergeCell ref="E34:F34"/>
    <mergeCell ref="G34:H34"/>
    <mergeCell ref="I34:J34"/>
    <mergeCell ref="K34:L34"/>
    <mergeCell ref="M34:N34"/>
    <mergeCell ref="O34:R34"/>
    <mergeCell ref="S34:V34"/>
    <mergeCell ref="A1:D3"/>
    <mergeCell ref="N1:O3"/>
    <mergeCell ref="P1:T3"/>
    <mergeCell ref="E1:M3"/>
    <mergeCell ref="A35:B35"/>
    <mergeCell ref="C35:D35"/>
    <mergeCell ref="E35:F35"/>
    <mergeCell ref="G35:H35"/>
    <mergeCell ref="I35:J35"/>
    <mergeCell ref="K35:L35"/>
    <mergeCell ref="M35:N35"/>
    <mergeCell ref="O35:R35"/>
    <mergeCell ref="C32:D32"/>
    <mergeCell ref="E32:F32"/>
    <mergeCell ref="G32:H32"/>
    <mergeCell ref="I32:J32"/>
    <mergeCell ref="K32:L32"/>
    <mergeCell ref="M32:N32"/>
    <mergeCell ref="O32:P32"/>
    <mergeCell ref="Q32:R32"/>
    <mergeCell ref="C33:D33"/>
    <mergeCell ref="E33:F33"/>
    <mergeCell ref="G33:H33"/>
    <mergeCell ref="I33:J33"/>
  </mergeCells>
  <pageMargins left="0.7" right="0.7" top="0.75" bottom="0.75" header="0.3" footer="0.3"/>
  <pageSetup orientation="portrait"/>
  <ignoredErrors>
    <ignoredError sqref="R20:R26 R8:R15 P9:P15 O28:P28 P20:P27 O31:P31 P29:P30 P32:P33" formulaRang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macro="[0]!RefreshFormulas">
                <anchor moveWithCells="1" sizeWithCells="1">
                  <from>
                    <xdr:col>20</xdr:col>
                    <xdr:colOff>114300</xdr:colOff>
                    <xdr:row>0</xdr:row>
                    <xdr:rowOff>0</xdr:rowOff>
                  </from>
                  <to>
                    <xdr:col>21</xdr:col>
                    <xdr:colOff>601980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Master!$C$9=1</xm:f>
            <x14:dxf>
              <font>
                <color theme="0"/>
              </font>
              <fill>
                <patternFill patternType="solid">
                  <bgColor rgb="FF7030A0"/>
                </patternFill>
              </fill>
            </x14:dxf>
          </x14:cfRule>
          <x14:cfRule type="expression" priority="2" id="{00000000-000E-0000-0100-000002000000}">
            <xm:f>Master!$C$9=2</xm:f>
            <x14:dxf>
              <font>
                <color theme="0"/>
              </font>
              <fill>
                <patternFill patternType="solid">
                  <bgColor rgb="FF00B050"/>
                </patternFill>
              </fill>
            </x14:dxf>
          </x14:cfRule>
          <x14:cfRule type="expression" priority="3" id="{00000000-000E-0000-0100-000003000000}">
            <xm:f>Master!$C$9=3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m:sqref>P1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7030A0"/>
  </sheetPr>
  <dimension ref="A1:S36"/>
  <sheetViews>
    <sheetView showGridLines="0" topLeftCell="A19" workbookViewId="0">
      <selection activeCell="U7" sqref="U7"/>
    </sheetView>
  </sheetViews>
  <sheetFormatPr defaultColWidth="8.94921875" defaultRowHeight="13.5" x14ac:dyDescent="0.15"/>
  <sheetData>
    <row r="1" spans="1:19" ht="15" customHeight="1" x14ac:dyDescent="0.15">
      <c r="A1" s="170" t="s">
        <v>63</v>
      </c>
      <c r="B1" s="171"/>
      <c r="C1" s="171"/>
      <c r="D1" s="171"/>
      <c r="E1" s="171"/>
      <c r="F1" s="172"/>
      <c r="G1" s="78" t="s">
        <v>64</v>
      </c>
      <c r="H1" s="70"/>
      <c r="I1" s="70"/>
      <c r="J1" s="70"/>
      <c r="K1" s="70"/>
      <c r="L1" s="70"/>
      <c r="M1" s="71"/>
      <c r="N1" s="167" t="s">
        <v>42</v>
      </c>
      <c r="O1" s="81">
        <f>Master!C2</f>
        <v>1</v>
      </c>
      <c r="P1" s="82"/>
      <c r="Q1" s="82"/>
      <c r="R1" s="82"/>
    </row>
    <row r="2" spans="1:19" ht="15" customHeight="1" x14ac:dyDescent="0.15">
      <c r="A2" s="173"/>
      <c r="B2" s="174"/>
      <c r="C2" s="174"/>
      <c r="D2" s="174"/>
      <c r="E2" s="174"/>
      <c r="F2" s="175"/>
      <c r="G2" s="79"/>
      <c r="H2" s="73"/>
      <c r="I2" s="73"/>
      <c r="J2" s="73"/>
      <c r="K2" s="73"/>
      <c r="L2" s="73"/>
      <c r="M2" s="74"/>
      <c r="N2" s="168"/>
      <c r="O2" s="84"/>
      <c r="P2" s="85"/>
      <c r="Q2" s="85"/>
      <c r="R2" s="85"/>
    </row>
    <row r="3" spans="1:19" ht="15.75" customHeight="1" x14ac:dyDescent="0.15">
      <c r="A3" s="176"/>
      <c r="B3" s="177"/>
      <c r="C3" s="177"/>
      <c r="D3" s="177"/>
      <c r="E3" s="177"/>
      <c r="F3" s="178"/>
      <c r="G3" s="80"/>
      <c r="H3" s="76"/>
      <c r="I3" s="76"/>
      <c r="J3" s="76"/>
      <c r="K3" s="76"/>
      <c r="L3" s="76"/>
      <c r="M3" s="77"/>
      <c r="N3" s="169"/>
      <c r="O3" s="87"/>
      <c r="P3" s="88"/>
      <c r="Q3" s="88"/>
      <c r="R3" s="88"/>
    </row>
    <row r="5" spans="1:19" x14ac:dyDescent="0.15">
      <c r="A5" s="157" t="str">
        <f>Master!C13</f>
        <v>Practice 1</v>
      </c>
      <c r="B5" s="157"/>
      <c r="C5" s="157"/>
      <c r="D5" s="157"/>
      <c r="E5" s="157"/>
      <c r="F5" s="157"/>
      <c r="G5" s="157"/>
      <c r="H5" s="157"/>
      <c r="I5" s="157"/>
      <c r="K5" s="157" t="str">
        <f>Master!C14</f>
        <v>Practice 2</v>
      </c>
      <c r="L5" s="157"/>
      <c r="M5" s="157"/>
      <c r="N5" s="157"/>
      <c r="O5" s="157"/>
      <c r="P5" s="157"/>
      <c r="Q5" s="157"/>
      <c r="R5" s="157"/>
      <c r="S5" s="157"/>
    </row>
    <row r="6" spans="1:19" x14ac:dyDescent="0.15">
      <c r="A6" s="157"/>
      <c r="B6" s="157"/>
      <c r="C6" s="157"/>
      <c r="D6" s="157"/>
      <c r="E6" s="157"/>
      <c r="F6" s="157"/>
      <c r="G6" s="157"/>
      <c r="H6" s="157"/>
      <c r="I6" s="157"/>
      <c r="K6" s="157"/>
      <c r="L6" s="157"/>
      <c r="M6" s="157"/>
      <c r="N6" s="157"/>
      <c r="O6" s="157"/>
      <c r="P6" s="157"/>
      <c r="Q6" s="157"/>
      <c r="R6" s="157"/>
      <c r="S6" s="157"/>
    </row>
    <row r="7" spans="1:19" x14ac:dyDescent="0.15">
      <c r="A7" s="158" t="e">
        <f>#REF!</f>
        <v>#REF!</v>
      </c>
      <c r="B7" s="159"/>
      <c r="C7" s="159"/>
      <c r="D7" s="159"/>
      <c r="E7" s="159"/>
      <c r="F7" s="159"/>
      <c r="G7" s="159"/>
      <c r="H7" s="159"/>
      <c r="I7" s="160"/>
      <c r="K7" s="158" t="e">
        <f>#REF!</f>
        <v>#REF!</v>
      </c>
      <c r="L7" s="159"/>
      <c r="M7" s="159"/>
      <c r="N7" s="159"/>
      <c r="O7" s="159"/>
      <c r="P7" s="159"/>
      <c r="Q7" s="159"/>
      <c r="R7" s="159"/>
      <c r="S7" s="160"/>
    </row>
    <row r="8" spans="1:19" x14ac:dyDescent="0.15">
      <c r="A8" s="161"/>
      <c r="B8" s="162"/>
      <c r="C8" s="162"/>
      <c r="D8" s="162"/>
      <c r="E8" s="162"/>
      <c r="F8" s="162"/>
      <c r="G8" s="162"/>
      <c r="H8" s="162"/>
      <c r="I8" s="163"/>
      <c r="K8" s="161"/>
      <c r="L8" s="162"/>
      <c r="M8" s="162"/>
      <c r="N8" s="162"/>
      <c r="O8" s="162"/>
      <c r="P8" s="162"/>
      <c r="Q8" s="162"/>
      <c r="R8" s="162"/>
      <c r="S8" s="163"/>
    </row>
    <row r="9" spans="1:19" x14ac:dyDescent="0.15">
      <c r="A9" s="161"/>
      <c r="B9" s="162"/>
      <c r="C9" s="162"/>
      <c r="D9" s="162"/>
      <c r="E9" s="162"/>
      <c r="F9" s="162"/>
      <c r="G9" s="162"/>
      <c r="H9" s="162"/>
      <c r="I9" s="163"/>
      <c r="K9" s="161"/>
      <c r="L9" s="162"/>
      <c r="M9" s="162"/>
      <c r="N9" s="162"/>
      <c r="O9" s="162"/>
      <c r="P9" s="162"/>
      <c r="Q9" s="162"/>
      <c r="R9" s="162"/>
      <c r="S9" s="163"/>
    </row>
    <row r="10" spans="1:19" x14ac:dyDescent="0.15">
      <c r="A10" s="161"/>
      <c r="B10" s="162"/>
      <c r="C10" s="162"/>
      <c r="D10" s="162"/>
      <c r="E10" s="162"/>
      <c r="F10" s="162"/>
      <c r="G10" s="162"/>
      <c r="H10" s="162"/>
      <c r="I10" s="163"/>
      <c r="K10" s="161"/>
      <c r="L10" s="162"/>
      <c r="M10" s="162"/>
      <c r="N10" s="162"/>
      <c r="O10" s="162"/>
      <c r="P10" s="162"/>
      <c r="Q10" s="162"/>
      <c r="R10" s="162"/>
      <c r="S10" s="163"/>
    </row>
    <row r="11" spans="1:19" x14ac:dyDescent="0.15">
      <c r="A11" s="161"/>
      <c r="B11" s="162"/>
      <c r="C11" s="162"/>
      <c r="D11" s="162"/>
      <c r="E11" s="162"/>
      <c r="F11" s="162"/>
      <c r="G11" s="162"/>
      <c r="H11" s="162"/>
      <c r="I11" s="163"/>
      <c r="K11" s="161"/>
      <c r="L11" s="162"/>
      <c r="M11" s="162"/>
      <c r="N11" s="162"/>
      <c r="O11" s="162"/>
      <c r="P11" s="162"/>
      <c r="Q11" s="162"/>
      <c r="R11" s="162"/>
      <c r="S11" s="163"/>
    </row>
    <row r="12" spans="1:19" x14ac:dyDescent="0.15">
      <c r="A12" s="161"/>
      <c r="B12" s="162"/>
      <c r="C12" s="162"/>
      <c r="D12" s="162"/>
      <c r="E12" s="162"/>
      <c r="F12" s="162"/>
      <c r="G12" s="162"/>
      <c r="H12" s="162"/>
      <c r="I12" s="163"/>
      <c r="K12" s="161"/>
      <c r="L12" s="162"/>
      <c r="M12" s="162"/>
      <c r="N12" s="162"/>
      <c r="O12" s="162"/>
      <c r="P12" s="162"/>
      <c r="Q12" s="162"/>
      <c r="R12" s="162"/>
      <c r="S12" s="163"/>
    </row>
    <row r="13" spans="1:19" x14ac:dyDescent="0.15">
      <c r="A13" s="161"/>
      <c r="B13" s="162"/>
      <c r="C13" s="162"/>
      <c r="D13" s="162"/>
      <c r="E13" s="162"/>
      <c r="F13" s="162"/>
      <c r="G13" s="162"/>
      <c r="H13" s="162"/>
      <c r="I13" s="163"/>
      <c r="K13" s="161"/>
      <c r="L13" s="162"/>
      <c r="M13" s="162"/>
      <c r="N13" s="162"/>
      <c r="O13" s="162"/>
      <c r="P13" s="162"/>
      <c r="Q13" s="162"/>
      <c r="R13" s="162"/>
      <c r="S13" s="163"/>
    </row>
    <row r="14" spans="1:19" x14ac:dyDescent="0.15">
      <c r="A14" s="164"/>
      <c r="B14" s="165"/>
      <c r="C14" s="165"/>
      <c r="D14" s="165"/>
      <c r="E14" s="165"/>
      <c r="F14" s="165"/>
      <c r="G14" s="165"/>
      <c r="H14" s="165"/>
      <c r="I14" s="166"/>
      <c r="K14" s="164"/>
      <c r="L14" s="165"/>
      <c r="M14" s="165"/>
      <c r="N14" s="165"/>
      <c r="O14" s="165"/>
      <c r="P14" s="165"/>
      <c r="Q14" s="165"/>
      <c r="R14" s="165"/>
      <c r="S14" s="166"/>
    </row>
    <row r="16" spans="1:19" x14ac:dyDescent="0.15">
      <c r="A16" s="157" t="str">
        <f>Master!C15</f>
        <v>Qualifying</v>
      </c>
      <c r="B16" s="157"/>
      <c r="C16" s="157"/>
      <c r="D16" s="157"/>
      <c r="E16" s="157"/>
      <c r="F16" s="157"/>
      <c r="G16" s="157"/>
      <c r="H16" s="157"/>
      <c r="I16" s="157"/>
      <c r="K16" s="157" t="str">
        <f>Master!C16</f>
        <v>Race 1</v>
      </c>
      <c r="L16" s="157"/>
      <c r="M16" s="157"/>
      <c r="N16" s="157"/>
      <c r="O16" s="157"/>
      <c r="P16" s="157"/>
      <c r="Q16" s="157"/>
      <c r="R16" s="157"/>
      <c r="S16" s="157"/>
    </row>
    <row r="17" spans="1:19" x14ac:dyDescent="0.15">
      <c r="A17" s="157"/>
      <c r="B17" s="157"/>
      <c r="C17" s="157"/>
      <c r="D17" s="157"/>
      <c r="E17" s="157"/>
      <c r="F17" s="157"/>
      <c r="G17" s="157"/>
      <c r="H17" s="157"/>
      <c r="I17" s="157"/>
      <c r="K17" s="157"/>
      <c r="L17" s="157"/>
      <c r="M17" s="157"/>
      <c r="N17" s="157"/>
      <c r="O17" s="157"/>
      <c r="P17" s="157"/>
      <c r="Q17" s="157"/>
      <c r="R17" s="157"/>
      <c r="S17" s="157"/>
    </row>
    <row r="18" spans="1:19" x14ac:dyDescent="0.15">
      <c r="A18" s="158" t="e">
        <f>#REF!</f>
        <v>#REF!</v>
      </c>
      <c r="B18" s="159"/>
      <c r="C18" s="159"/>
      <c r="D18" s="159"/>
      <c r="E18" s="159"/>
      <c r="F18" s="159"/>
      <c r="G18" s="159"/>
      <c r="H18" s="159"/>
      <c r="I18" s="160"/>
      <c r="K18" s="158" t="e">
        <f>#REF!</f>
        <v>#REF!</v>
      </c>
      <c r="L18" s="159"/>
      <c r="M18" s="159"/>
      <c r="N18" s="159"/>
      <c r="O18" s="159"/>
      <c r="P18" s="159"/>
      <c r="Q18" s="159"/>
      <c r="R18" s="159"/>
      <c r="S18" s="160"/>
    </row>
    <row r="19" spans="1:19" x14ac:dyDescent="0.15">
      <c r="A19" s="161"/>
      <c r="B19" s="162"/>
      <c r="C19" s="162"/>
      <c r="D19" s="162"/>
      <c r="E19" s="162"/>
      <c r="F19" s="162"/>
      <c r="G19" s="162"/>
      <c r="H19" s="162"/>
      <c r="I19" s="163"/>
      <c r="K19" s="161"/>
      <c r="L19" s="162"/>
      <c r="M19" s="162"/>
      <c r="N19" s="162"/>
      <c r="O19" s="162"/>
      <c r="P19" s="162"/>
      <c r="Q19" s="162"/>
      <c r="R19" s="162"/>
      <c r="S19" s="163"/>
    </row>
    <row r="20" spans="1:19" x14ac:dyDescent="0.15">
      <c r="A20" s="161"/>
      <c r="B20" s="162"/>
      <c r="C20" s="162"/>
      <c r="D20" s="162"/>
      <c r="E20" s="162"/>
      <c r="F20" s="162"/>
      <c r="G20" s="162"/>
      <c r="H20" s="162"/>
      <c r="I20" s="163"/>
      <c r="K20" s="161"/>
      <c r="L20" s="162"/>
      <c r="M20" s="162"/>
      <c r="N20" s="162"/>
      <c r="O20" s="162"/>
      <c r="P20" s="162"/>
      <c r="Q20" s="162"/>
      <c r="R20" s="162"/>
      <c r="S20" s="163"/>
    </row>
    <row r="21" spans="1:19" x14ac:dyDescent="0.15">
      <c r="A21" s="161"/>
      <c r="B21" s="162"/>
      <c r="C21" s="162"/>
      <c r="D21" s="162"/>
      <c r="E21" s="162"/>
      <c r="F21" s="162"/>
      <c r="G21" s="162"/>
      <c r="H21" s="162"/>
      <c r="I21" s="163"/>
      <c r="K21" s="161"/>
      <c r="L21" s="162"/>
      <c r="M21" s="162"/>
      <c r="N21" s="162"/>
      <c r="O21" s="162"/>
      <c r="P21" s="162"/>
      <c r="Q21" s="162"/>
      <c r="R21" s="162"/>
      <c r="S21" s="163"/>
    </row>
    <row r="22" spans="1:19" x14ac:dyDescent="0.15">
      <c r="A22" s="161"/>
      <c r="B22" s="162"/>
      <c r="C22" s="162"/>
      <c r="D22" s="162"/>
      <c r="E22" s="162"/>
      <c r="F22" s="162"/>
      <c r="G22" s="162"/>
      <c r="H22" s="162"/>
      <c r="I22" s="163"/>
      <c r="K22" s="161"/>
      <c r="L22" s="162"/>
      <c r="M22" s="162"/>
      <c r="N22" s="162"/>
      <c r="O22" s="162"/>
      <c r="P22" s="162"/>
      <c r="Q22" s="162"/>
      <c r="R22" s="162"/>
      <c r="S22" s="163"/>
    </row>
    <row r="23" spans="1:19" x14ac:dyDescent="0.15">
      <c r="A23" s="161"/>
      <c r="B23" s="162"/>
      <c r="C23" s="162"/>
      <c r="D23" s="162"/>
      <c r="E23" s="162"/>
      <c r="F23" s="162"/>
      <c r="G23" s="162"/>
      <c r="H23" s="162"/>
      <c r="I23" s="163"/>
      <c r="K23" s="161"/>
      <c r="L23" s="162"/>
      <c r="M23" s="162"/>
      <c r="N23" s="162"/>
      <c r="O23" s="162"/>
      <c r="P23" s="162"/>
      <c r="Q23" s="162"/>
      <c r="R23" s="162"/>
      <c r="S23" s="163"/>
    </row>
    <row r="24" spans="1:19" x14ac:dyDescent="0.15">
      <c r="A24" s="161"/>
      <c r="B24" s="162"/>
      <c r="C24" s="162"/>
      <c r="D24" s="162"/>
      <c r="E24" s="162"/>
      <c r="F24" s="162"/>
      <c r="G24" s="162"/>
      <c r="H24" s="162"/>
      <c r="I24" s="163"/>
      <c r="K24" s="161"/>
      <c r="L24" s="162"/>
      <c r="M24" s="162"/>
      <c r="N24" s="162"/>
      <c r="O24" s="162"/>
      <c r="P24" s="162"/>
      <c r="Q24" s="162"/>
      <c r="R24" s="162"/>
      <c r="S24" s="163"/>
    </row>
    <row r="25" spans="1:19" x14ac:dyDescent="0.15">
      <c r="A25" s="164"/>
      <c r="B25" s="165"/>
      <c r="C25" s="165"/>
      <c r="D25" s="165"/>
      <c r="E25" s="165"/>
      <c r="F25" s="165"/>
      <c r="G25" s="165"/>
      <c r="H25" s="165"/>
      <c r="I25" s="166"/>
      <c r="K25" s="164"/>
      <c r="L25" s="165"/>
      <c r="M25" s="165"/>
      <c r="N25" s="165"/>
      <c r="O25" s="165"/>
      <c r="P25" s="165"/>
      <c r="Q25" s="165"/>
      <c r="R25" s="165"/>
      <c r="S25" s="166"/>
    </row>
    <row r="27" spans="1:19" x14ac:dyDescent="0.15">
      <c r="A27" s="157" t="str">
        <f>Master!C17</f>
        <v>Race 2</v>
      </c>
      <c r="B27" s="157"/>
      <c r="C27" s="157"/>
      <c r="D27" s="157"/>
      <c r="E27" s="157"/>
      <c r="F27" s="157"/>
      <c r="G27" s="157"/>
      <c r="H27" s="157"/>
      <c r="I27" s="157"/>
      <c r="K27" s="157" t="str">
        <f>Master!C18</f>
        <v>Race 3</v>
      </c>
      <c r="L27" s="157"/>
      <c r="M27" s="157"/>
      <c r="N27" s="157"/>
      <c r="O27" s="157"/>
      <c r="P27" s="157"/>
      <c r="Q27" s="157"/>
      <c r="R27" s="157"/>
      <c r="S27" s="157"/>
    </row>
    <row r="28" spans="1:19" x14ac:dyDescent="0.15">
      <c r="A28" s="157"/>
      <c r="B28" s="157"/>
      <c r="C28" s="157"/>
      <c r="D28" s="157"/>
      <c r="E28" s="157"/>
      <c r="F28" s="157"/>
      <c r="G28" s="157"/>
      <c r="H28" s="157"/>
      <c r="I28" s="157"/>
      <c r="K28" s="157"/>
      <c r="L28" s="157"/>
      <c r="M28" s="157"/>
      <c r="N28" s="157"/>
      <c r="O28" s="157"/>
      <c r="P28" s="157"/>
      <c r="Q28" s="157"/>
      <c r="R28" s="157"/>
      <c r="S28" s="157"/>
    </row>
    <row r="29" spans="1:19" x14ac:dyDescent="0.15">
      <c r="A29" s="158" t="e">
        <f>#REF!</f>
        <v>#REF!</v>
      </c>
      <c r="B29" s="159"/>
      <c r="C29" s="159"/>
      <c r="D29" s="159"/>
      <c r="E29" s="159"/>
      <c r="F29" s="159"/>
      <c r="G29" s="159"/>
      <c r="H29" s="159"/>
      <c r="I29" s="160"/>
      <c r="K29" s="158" t="e">
        <f>#REF!</f>
        <v>#REF!</v>
      </c>
      <c r="L29" s="159"/>
      <c r="M29" s="159"/>
      <c r="N29" s="159"/>
      <c r="O29" s="159"/>
      <c r="P29" s="159"/>
      <c r="Q29" s="159"/>
      <c r="R29" s="159"/>
      <c r="S29" s="160"/>
    </row>
    <row r="30" spans="1:19" x14ac:dyDescent="0.15">
      <c r="A30" s="161"/>
      <c r="B30" s="162"/>
      <c r="C30" s="162"/>
      <c r="D30" s="162"/>
      <c r="E30" s="162"/>
      <c r="F30" s="162"/>
      <c r="G30" s="162"/>
      <c r="H30" s="162"/>
      <c r="I30" s="163"/>
      <c r="K30" s="161"/>
      <c r="L30" s="162"/>
      <c r="M30" s="162"/>
      <c r="N30" s="162"/>
      <c r="O30" s="162"/>
      <c r="P30" s="162"/>
      <c r="Q30" s="162"/>
      <c r="R30" s="162"/>
      <c r="S30" s="163"/>
    </row>
    <row r="31" spans="1:19" x14ac:dyDescent="0.15">
      <c r="A31" s="161"/>
      <c r="B31" s="162"/>
      <c r="C31" s="162"/>
      <c r="D31" s="162"/>
      <c r="E31" s="162"/>
      <c r="F31" s="162"/>
      <c r="G31" s="162"/>
      <c r="H31" s="162"/>
      <c r="I31" s="163"/>
      <c r="K31" s="161"/>
      <c r="L31" s="162"/>
      <c r="M31" s="162"/>
      <c r="N31" s="162"/>
      <c r="O31" s="162"/>
      <c r="P31" s="162"/>
      <c r="Q31" s="162"/>
      <c r="R31" s="162"/>
      <c r="S31" s="163"/>
    </row>
    <row r="32" spans="1:19" x14ac:dyDescent="0.15">
      <c r="A32" s="161"/>
      <c r="B32" s="162"/>
      <c r="C32" s="162"/>
      <c r="D32" s="162"/>
      <c r="E32" s="162"/>
      <c r="F32" s="162"/>
      <c r="G32" s="162"/>
      <c r="H32" s="162"/>
      <c r="I32" s="163"/>
      <c r="K32" s="161"/>
      <c r="L32" s="162"/>
      <c r="M32" s="162"/>
      <c r="N32" s="162"/>
      <c r="O32" s="162"/>
      <c r="P32" s="162"/>
      <c r="Q32" s="162"/>
      <c r="R32" s="162"/>
      <c r="S32" s="163"/>
    </row>
    <row r="33" spans="1:19" x14ac:dyDescent="0.15">
      <c r="A33" s="161"/>
      <c r="B33" s="162"/>
      <c r="C33" s="162"/>
      <c r="D33" s="162"/>
      <c r="E33" s="162"/>
      <c r="F33" s="162"/>
      <c r="G33" s="162"/>
      <c r="H33" s="162"/>
      <c r="I33" s="163"/>
      <c r="K33" s="161"/>
      <c r="L33" s="162"/>
      <c r="M33" s="162"/>
      <c r="N33" s="162"/>
      <c r="O33" s="162"/>
      <c r="P33" s="162"/>
      <c r="Q33" s="162"/>
      <c r="R33" s="162"/>
      <c r="S33" s="163"/>
    </row>
    <row r="34" spans="1:19" x14ac:dyDescent="0.15">
      <c r="A34" s="161"/>
      <c r="B34" s="162"/>
      <c r="C34" s="162"/>
      <c r="D34" s="162"/>
      <c r="E34" s="162"/>
      <c r="F34" s="162"/>
      <c r="G34" s="162"/>
      <c r="H34" s="162"/>
      <c r="I34" s="163"/>
      <c r="K34" s="161"/>
      <c r="L34" s="162"/>
      <c r="M34" s="162"/>
      <c r="N34" s="162"/>
      <c r="O34" s="162"/>
      <c r="P34" s="162"/>
      <c r="Q34" s="162"/>
      <c r="R34" s="162"/>
      <c r="S34" s="163"/>
    </row>
    <row r="35" spans="1:19" x14ac:dyDescent="0.15">
      <c r="A35" s="161"/>
      <c r="B35" s="162"/>
      <c r="C35" s="162"/>
      <c r="D35" s="162"/>
      <c r="E35" s="162"/>
      <c r="F35" s="162"/>
      <c r="G35" s="162"/>
      <c r="H35" s="162"/>
      <c r="I35" s="163"/>
      <c r="K35" s="161"/>
      <c r="L35" s="162"/>
      <c r="M35" s="162"/>
      <c r="N35" s="162"/>
      <c r="O35" s="162"/>
      <c r="P35" s="162"/>
      <c r="Q35" s="162"/>
      <c r="R35" s="162"/>
      <c r="S35" s="163"/>
    </row>
    <row r="36" spans="1:19" x14ac:dyDescent="0.15">
      <c r="A36" s="164"/>
      <c r="B36" s="165"/>
      <c r="C36" s="165"/>
      <c r="D36" s="165"/>
      <c r="E36" s="165"/>
      <c r="F36" s="165"/>
      <c r="G36" s="165"/>
      <c r="H36" s="165"/>
      <c r="I36" s="166"/>
      <c r="K36" s="164"/>
      <c r="L36" s="165"/>
      <c r="M36" s="165"/>
      <c r="N36" s="165"/>
      <c r="O36" s="165"/>
      <c r="P36" s="165"/>
      <c r="Q36" s="165"/>
      <c r="R36" s="165"/>
      <c r="S36" s="166"/>
    </row>
  </sheetData>
  <mergeCells count="16">
    <mergeCell ref="N1:N3"/>
    <mergeCell ref="A16:I17"/>
    <mergeCell ref="K16:S17"/>
    <mergeCell ref="O1:R3"/>
    <mergeCell ref="A1:F3"/>
    <mergeCell ref="G1:M3"/>
    <mergeCell ref="A7:I14"/>
    <mergeCell ref="K7:S14"/>
    <mergeCell ref="A5:I6"/>
    <mergeCell ref="K5:S6"/>
    <mergeCell ref="A27:I28"/>
    <mergeCell ref="K27:S28"/>
    <mergeCell ref="A29:I36"/>
    <mergeCell ref="K29:S36"/>
    <mergeCell ref="A18:I25"/>
    <mergeCell ref="K18:S2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200-000001000000}">
            <xm:f>Master!$C$9=1</xm:f>
            <x14:dxf>
              <font>
                <color theme="0"/>
              </font>
              <fill>
                <patternFill patternType="solid">
                  <bgColor rgb="FF7030A0"/>
                </patternFill>
              </fill>
            </x14:dxf>
          </x14:cfRule>
          <x14:cfRule type="expression" priority="2" id="{00000000-000E-0000-0200-000002000000}">
            <xm:f>Master!$C$9=2</xm:f>
            <x14:dxf>
              <font>
                <color theme="0"/>
              </font>
              <fill>
                <patternFill patternType="solid">
                  <bgColor rgb="FF00B050"/>
                </patternFill>
              </fill>
            </x14:dxf>
          </x14:cfRule>
          <x14:cfRule type="expression" priority="3" id="{00000000-000E-0000-0200-000003000000}">
            <xm:f>Master!$C$9=3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m:sqref>O1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CCBD49B58FCC459268727D0125914F" ma:contentTypeVersion="17" ma:contentTypeDescription="Create a new document." ma:contentTypeScope="" ma:versionID="3f6208fdcdfe988a6a275b0705d1ce21">
  <xsd:schema xmlns:xsd="http://www.w3.org/2001/XMLSchema" xmlns:xs="http://www.w3.org/2001/XMLSchema" xmlns:p="http://schemas.microsoft.com/office/2006/metadata/properties" xmlns:ns2="673e06bf-587e-44b9-9c61-a55aa2e6b946" xmlns:ns3="d1712477-e4e4-4ebb-8266-1fd4c4895e58" targetNamespace="http://schemas.microsoft.com/office/2006/metadata/properties" ma:root="true" ma:fieldsID="b353168d6286467fb39944041ef4a6fa" ns2:_="" ns3:_="">
    <xsd:import namespace="673e06bf-587e-44b9-9c61-a55aa2e6b946"/>
    <xsd:import namespace="d1712477-e4e4-4ebb-8266-1fd4c4895e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OrderNumber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e06bf-587e-44b9-9c61-a55aa2e6b9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f35485-5456-46b8-bbaf-9e432837aa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OrderNumbering" ma:index="23" nillable="true" ma:displayName="Order Numbering" ma:format="Dropdown" ma:internalName="OrderNumbering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12477-e4e4-4ebb-8266-1fd4c4895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6ae777d-1ebd-4e8d-930d-ffa2bd1d6fec}" ma:internalName="TaxCatchAll" ma:showField="CatchAllData" ma:web="d1712477-e4e4-4ebb-8266-1fd4c4895e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3e06bf-587e-44b9-9c61-a55aa2e6b946">
      <Terms xmlns="http://schemas.microsoft.com/office/infopath/2007/PartnerControls"/>
    </lcf76f155ced4ddcb4097134ff3c332f>
    <TaxCatchAll xmlns="d1712477-e4e4-4ebb-8266-1fd4c4895e58" xsi:nil="true"/>
    <OrderNumbering xmlns="673e06bf-587e-44b9-9c61-a55aa2e6b946" xsi:nil="true"/>
  </documentManagement>
</p:properties>
</file>

<file path=customXml/itemProps1.xml><?xml version="1.0" encoding="utf-8"?>
<ds:datastoreItem xmlns:ds="http://schemas.openxmlformats.org/officeDocument/2006/customXml" ds:itemID="{7DF7CD51-B4DD-46F5-BC8D-0F266C3644D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73e06bf-587e-44b9-9c61-a55aa2e6b946"/>
    <ds:schemaRef ds:uri="d1712477-e4e4-4ebb-8266-1fd4c4895e58"/>
  </ds:schemaRefs>
</ds:datastoreItem>
</file>

<file path=customXml/itemProps2.xml><?xml version="1.0" encoding="utf-8"?>
<ds:datastoreItem xmlns:ds="http://schemas.openxmlformats.org/officeDocument/2006/customXml" ds:itemID="{AF0F37D6-FD7D-440A-B368-E576BB89A8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D6B96-F1CB-4BCC-8367-765A359E0E5C}">
  <ds:schemaRefs>
    <ds:schemaRef ds:uri="http://schemas.microsoft.com/office/2006/metadata/properties"/>
    <ds:schemaRef ds:uri="http://www.w3.org/2000/xmlns/"/>
    <ds:schemaRef ds:uri="673e06bf-587e-44b9-9c61-a55aa2e6b946"/>
    <ds:schemaRef ds:uri="http://schemas.microsoft.com/office/infopath/2007/PartnerControls"/>
    <ds:schemaRef ds:uri="d1712477-e4e4-4ebb-8266-1fd4c4895e58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3</vt:i4>
      </vt:variant>
    </vt:vector>
  </HeadingPairs>
  <TitlesOfParts>
    <vt:vector size="3" baseType="lpstr">
      <vt:lpstr>Master</vt:lpstr>
      <vt:lpstr>Mileage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 Jones</dc:creator>
  <cp:keywords/>
  <dc:description/>
  <cp:lastModifiedBy>Guest User</cp:lastModifiedBy>
  <cp:revision/>
  <dcterms:created xsi:type="dcterms:W3CDTF">2023-09-12T14:44:00Z</dcterms:created>
  <dcterms:modified xsi:type="dcterms:W3CDTF">2026-01-20T07:49:22Z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0x01010014CCBD49B58FCC459268727D0125914F</vt:lpwstr>
  </property>
  <property fmtid="{D5CDD505-2E9C-101B-9397-08002B2CF9AE}" pid="3" name="MediaServiceImageTags">
    <vt:lpwstr/>
  </property>
  <property fmtid="{D5CDD505-2E9C-101B-9397-08002B2CF9AE}" pid="4" name="ICV">
    <vt:lpwstr>17B275012A3C48F98BA47CC578C9E66B_12</vt:lpwstr>
  </property>
  <property fmtid="{D5CDD505-2E9C-101B-9397-08002B2CF9AE}" pid="5" name="KSOProductBuildVer">
    <vt:lpwstr>1033-12.2.0.23196</vt:lpwstr>
  </property>
</Properties>
</file>